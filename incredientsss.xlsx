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dipanddash\"/>
    </mc:Choice>
  </mc:AlternateContent>
  <xr:revisionPtr revIDLastSave="0" documentId="13_ncr:1_{004AF991-1E61-4A3E-BE90-E864155311ED}" xr6:coauthVersionLast="47" xr6:coauthVersionMax="47" xr10:uidLastSave="{00000000-0000-0000-0000-000000000000}"/>
  <bookViews>
    <workbookView xWindow="-108" yWindow="-108" windowWidth="23256" windowHeight="12456" xr2:uid="{EEC6DD10-4B16-417B-ABD9-E0102B178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9" i="1" l="1"/>
  <c r="N69" i="1" s="1"/>
  <c r="O69" i="1" s="1"/>
  <c r="L68" i="1"/>
  <c r="N68" i="1" s="1"/>
  <c r="O68" i="1" s="1"/>
  <c r="L67" i="1"/>
  <c r="N67" i="1" s="1"/>
  <c r="O67" i="1" s="1"/>
  <c r="L66" i="1"/>
  <c r="N66" i="1" s="1"/>
  <c r="O66" i="1" s="1"/>
  <c r="L65" i="1"/>
  <c r="N65" i="1" s="1"/>
  <c r="O65" i="1" s="1"/>
  <c r="L64" i="1"/>
  <c r="N64" i="1" s="1"/>
  <c r="O64" i="1" s="1"/>
  <c r="L63" i="1"/>
  <c r="N63" i="1" s="1"/>
  <c r="O63" i="1" s="1"/>
  <c r="L62" i="1"/>
  <c r="N62" i="1" s="1"/>
  <c r="O62" i="1" s="1"/>
  <c r="L61" i="1"/>
  <c r="N61" i="1" s="1"/>
  <c r="O61" i="1" s="1"/>
  <c r="L60" i="1"/>
  <c r="N60" i="1" s="1"/>
  <c r="O60" i="1" s="1"/>
  <c r="L59" i="1"/>
  <c r="N59" i="1" s="1"/>
  <c r="O59" i="1" s="1"/>
  <c r="L58" i="1"/>
  <c r="N58" i="1" s="1"/>
  <c r="O58" i="1" s="1"/>
  <c r="L57" i="1"/>
  <c r="N57" i="1" s="1"/>
  <c r="O57" i="1" s="1"/>
  <c r="L56" i="1"/>
  <c r="N56" i="1" s="1"/>
  <c r="O56" i="1" s="1"/>
  <c r="L55" i="1"/>
  <c r="N55" i="1" s="1"/>
  <c r="O55" i="1" s="1"/>
  <c r="L54" i="1"/>
  <c r="N54" i="1" s="1"/>
  <c r="O54" i="1" s="1"/>
  <c r="L53" i="1"/>
  <c r="N53" i="1" s="1"/>
  <c r="O53" i="1" s="1"/>
  <c r="L52" i="1"/>
  <c r="N52" i="1" s="1"/>
  <c r="O52" i="1" s="1"/>
  <c r="L51" i="1"/>
  <c r="N51" i="1" s="1"/>
  <c r="O51" i="1" s="1"/>
  <c r="N50" i="1"/>
  <c r="O50" i="1" s="1"/>
  <c r="N49" i="1"/>
  <c r="O49" i="1" s="1"/>
  <c r="L48" i="1"/>
  <c r="N48" i="1" s="1"/>
  <c r="O48" i="1" s="1"/>
  <c r="L47" i="1"/>
  <c r="N47" i="1" s="1"/>
  <c r="O47" i="1" s="1"/>
  <c r="L46" i="1"/>
  <c r="N46" i="1" s="1"/>
  <c r="O46" i="1" s="1"/>
  <c r="L45" i="1"/>
  <c r="N45" i="1" s="1"/>
  <c r="O45" i="1" s="1"/>
  <c r="L44" i="1"/>
  <c r="N44" i="1" s="1"/>
  <c r="O44" i="1" s="1"/>
  <c r="L43" i="1"/>
  <c r="N43" i="1" s="1"/>
  <c r="O43" i="1" s="1"/>
  <c r="L42" i="1"/>
  <c r="N42" i="1" s="1"/>
  <c r="O42" i="1" s="1"/>
  <c r="L41" i="1"/>
  <c r="N41" i="1" s="1"/>
  <c r="O41" i="1" s="1"/>
  <c r="L40" i="1"/>
  <c r="N40" i="1" s="1"/>
  <c r="O40" i="1" s="1"/>
  <c r="L39" i="1"/>
  <c r="N39" i="1" s="1"/>
  <c r="O39" i="1" s="1"/>
  <c r="L38" i="1"/>
  <c r="N38" i="1" s="1"/>
  <c r="O38" i="1" s="1"/>
  <c r="L37" i="1"/>
  <c r="N37" i="1" s="1"/>
  <c r="O37" i="1" s="1"/>
  <c r="L36" i="1"/>
  <c r="N36" i="1" s="1"/>
  <c r="O36" i="1" s="1"/>
  <c r="L35" i="1"/>
  <c r="N35" i="1" s="1"/>
  <c r="O35" i="1" s="1"/>
  <c r="L34" i="1"/>
  <c r="N34" i="1" s="1"/>
  <c r="O34" i="1" s="1"/>
  <c r="L33" i="1"/>
  <c r="N33" i="1" s="1"/>
  <c r="O33" i="1" s="1"/>
  <c r="L32" i="1"/>
  <c r="N32" i="1" s="1"/>
  <c r="O32" i="1" s="1"/>
  <c r="L31" i="1"/>
  <c r="N31" i="1" s="1"/>
  <c r="O31" i="1" s="1"/>
  <c r="L30" i="1"/>
  <c r="N30" i="1" s="1"/>
  <c r="O30" i="1" s="1"/>
  <c r="L29" i="1"/>
  <c r="N29" i="1" s="1"/>
  <c r="O29" i="1" s="1"/>
  <c r="L28" i="1"/>
  <c r="N28" i="1" s="1"/>
  <c r="O28" i="1" s="1"/>
  <c r="L27" i="1"/>
  <c r="N27" i="1" s="1"/>
  <c r="O27" i="1" s="1"/>
  <c r="L26" i="1"/>
  <c r="N26" i="1" s="1"/>
  <c r="O26" i="1" s="1"/>
  <c r="L25" i="1"/>
  <c r="N25" i="1" s="1"/>
  <c r="O25" i="1" s="1"/>
  <c r="L24" i="1"/>
  <c r="N24" i="1" s="1"/>
  <c r="O24" i="1" s="1"/>
  <c r="L23" i="1"/>
  <c r="N23" i="1" s="1"/>
  <c r="O23" i="1" s="1"/>
  <c r="L22" i="1"/>
  <c r="N22" i="1" s="1"/>
  <c r="O22" i="1" s="1"/>
  <c r="L21" i="1"/>
  <c r="N21" i="1" s="1"/>
  <c r="O21" i="1" s="1"/>
  <c r="L20" i="1"/>
  <c r="N20" i="1" s="1"/>
  <c r="O20" i="1" s="1"/>
  <c r="L19" i="1"/>
  <c r="N19" i="1" s="1"/>
  <c r="O19" i="1" s="1"/>
  <c r="L18" i="1"/>
  <c r="N18" i="1" s="1"/>
  <c r="O18" i="1" s="1"/>
  <c r="L17" i="1"/>
  <c r="N17" i="1" s="1"/>
  <c r="O17" i="1" s="1"/>
  <c r="L16" i="1"/>
  <c r="N16" i="1" s="1"/>
  <c r="O16" i="1" s="1"/>
  <c r="L15" i="1"/>
  <c r="N15" i="1" s="1"/>
  <c r="O15" i="1" s="1"/>
  <c r="L14" i="1"/>
  <c r="N14" i="1" s="1"/>
  <c r="O14" i="1" s="1"/>
  <c r="L13" i="1"/>
  <c r="N13" i="1" s="1"/>
  <c r="O13" i="1" s="1"/>
  <c r="L12" i="1"/>
  <c r="N12" i="1" s="1"/>
  <c r="O12" i="1" s="1"/>
  <c r="L11" i="1"/>
  <c r="N11" i="1" s="1"/>
  <c r="O11" i="1" s="1"/>
  <c r="L10" i="1"/>
  <c r="N10" i="1" s="1"/>
  <c r="O10" i="1" s="1"/>
  <c r="L9" i="1"/>
  <c r="N9" i="1" s="1"/>
  <c r="O9" i="1" s="1"/>
  <c r="L8" i="1"/>
  <c r="N8" i="1" s="1"/>
  <c r="O8" i="1" s="1"/>
  <c r="L7" i="1"/>
  <c r="N7" i="1" s="1"/>
  <c r="O7" i="1" s="1"/>
  <c r="L6" i="1"/>
  <c r="N6" i="1" s="1"/>
  <c r="O6" i="1" s="1"/>
  <c r="L5" i="1"/>
  <c r="N5" i="1" s="1"/>
  <c r="O5" i="1" s="1"/>
  <c r="L4" i="1"/>
  <c r="N4" i="1" s="1"/>
  <c r="O4" i="1" s="1"/>
  <c r="L3" i="1"/>
  <c r="N3" i="1" s="1"/>
  <c r="O3" i="1" s="1"/>
  <c r="O70" i="1" s="1"/>
</calcChain>
</file>

<file path=xl/sharedStrings.xml><?xml version="1.0" encoding="utf-8"?>
<sst xmlns="http://schemas.openxmlformats.org/spreadsheetml/2006/main" count="447" uniqueCount="138">
  <si>
    <t xml:space="preserve">Description </t>
  </si>
  <si>
    <t>Beef Premium MIWCRD</t>
  </si>
  <si>
    <t>Tex Mex Nacho Chips 200g x 12Pkd</t>
  </si>
  <si>
    <t>DM Premium Eggless Mayo 1kg x 12 PKT</t>
  </si>
  <si>
    <t>Her Chocolate Syrup 6230</t>
  </si>
  <si>
    <t>MT Dark Soya Sauce 750g x 24N</t>
  </si>
  <si>
    <t>GC Worcestershire Sauce-200G x48n</t>
  </si>
  <si>
    <t>VB Tomato Ketchup-1.2 Kg x 12N</t>
  </si>
  <si>
    <t>MT Red Chilli Sauce 680g 24N</t>
  </si>
  <si>
    <t>MAL Mango Crush ash 700ml x 12</t>
  </si>
  <si>
    <t>VB Mojito Mint Syrup 775 ml</t>
  </si>
  <si>
    <t xml:space="preserve">Habit Gerkins Sliced 680g x 12 </t>
  </si>
  <si>
    <t xml:space="preserve"> Amul Fresh Cream-1Lx 12k1</t>
  </si>
  <si>
    <t>CA Mild  Breading Mix 1kg x 10Pkt</t>
  </si>
  <si>
    <t>VKL Piri Piri Marinade -1Kg x 10Pkt</t>
  </si>
  <si>
    <t>CA Aromatic Mix - 500g</t>
  </si>
  <si>
    <t>WH NV Oyster Sauce Flavoured-520 G</t>
  </si>
  <si>
    <t>Amual Unsalted Cooking Butter CP-500g x30 Pkt</t>
  </si>
  <si>
    <t>VKL Piri Piri Sprinkler  -250g x 40Pkt</t>
  </si>
  <si>
    <t>IB French Fries 9mm-2.5 Kg x 5 Pkt</t>
  </si>
  <si>
    <t xml:space="preserve">Boun's less breast </t>
  </si>
  <si>
    <t xml:space="preserve">Boun's less Thigh  </t>
  </si>
  <si>
    <t xml:space="preserve">Boun's less Wing's  </t>
  </si>
  <si>
    <t>Brioche Bun</t>
  </si>
  <si>
    <t>NASHVILLE SAUCE MIX 1KG
Bayfield</t>
  </si>
  <si>
    <t>Cheesy Jalapeno Sauce Bayfield</t>
  </si>
  <si>
    <t>BUFFALO SAUCE MIX-1KG
Bayfield</t>
  </si>
  <si>
    <t>CAJUN BREADING MIX</t>
  </si>
  <si>
    <t>Hot And Spicy MARINADE 1KG Bayfield</t>
  </si>
  <si>
    <t>Lion Honey 250 Grm 1+1</t>
  </si>
  <si>
    <t>Plain Refined Flour</t>
  </si>
  <si>
    <t>Rubini Oil 850g</t>
  </si>
  <si>
    <t>Egg's</t>
  </si>
  <si>
    <t>MC FAVORITA 9MM 2.5KG</t>
  </si>
  <si>
    <t>DL MAYONNAISE 1KG</t>
  </si>
  <si>
    <t>VKL CRISPY CAJUN BREADING MIX</t>
  </si>
  <si>
    <t>VKL EXTRA HOT &amp; SPICY 1KG</t>
  </si>
  <si>
    <t>NES MILO 400 GM</t>
  </si>
  <si>
    <t>LOTUS BISCOFF SPREAD 400GM</t>
  </si>
  <si>
    <t>LOTUS BISCOFF BISCUIT 225GM</t>
  </si>
  <si>
    <t>AM MITHAI MATE 400GM</t>
  </si>
  <si>
    <t>GOOD LIFE MILK 1LTR</t>
  </si>
  <si>
    <t>BT MOJITO MINT</t>
  </si>
  <si>
    <t>VB CHIPOTLE DIP 1KG</t>
  </si>
  <si>
    <t>BKFD Vanilla Holly Berry 4ltr</t>
  </si>
  <si>
    <t>BKFD Mango Holly Berry 4ltr</t>
  </si>
  <si>
    <t>Cabbage - Red</t>
  </si>
  <si>
    <t>Chilli - Green</t>
  </si>
  <si>
    <t>Coriander Leaf - No's</t>
  </si>
  <si>
    <t>Lemon</t>
  </si>
  <si>
    <t>Lettuce - Green</t>
  </si>
  <si>
    <t>Mushroom (Oyster)</t>
  </si>
  <si>
    <t>Mint Leaf - No's</t>
  </si>
  <si>
    <t>Onion Ballari</t>
  </si>
  <si>
    <t>Tomato-Hybrid</t>
  </si>
  <si>
    <t>Mr Gold Refund Oil</t>
  </si>
  <si>
    <t xml:space="preserve">7 Up Bottel's </t>
  </si>
  <si>
    <t>Premia Maida</t>
  </si>
  <si>
    <t>Chicken thigh fillet</t>
  </si>
  <si>
    <t>chicken tenders</t>
  </si>
  <si>
    <t>Petrol</t>
  </si>
  <si>
    <t>CABLE TIES 300MM IE</t>
  </si>
  <si>
    <t>ORBIT 1.5sMM WIRE LSIT</t>
  </si>
  <si>
    <t>Dip &amp; Dash Purchase Details -April Month</t>
  </si>
  <si>
    <t>S/N</t>
  </si>
  <si>
    <t xml:space="preserve">Vendor Name </t>
  </si>
  <si>
    <t>Phone Number</t>
  </si>
  <si>
    <t>Vendor Invoice No#</t>
  </si>
  <si>
    <t>Purchase Date</t>
  </si>
  <si>
    <t>Project Name</t>
  </si>
  <si>
    <t>Month</t>
  </si>
  <si>
    <t>Alt Type</t>
  </si>
  <si>
    <t>Purchase Qty</t>
  </si>
  <si>
    <t xml:space="preserve">Unit price </t>
  </si>
  <si>
    <t xml:space="preserve">Amount </t>
  </si>
  <si>
    <t>GST%</t>
  </si>
  <si>
    <t>Gst Amount</t>
  </si>
  <si>
    <t>Grand Total</t>
  </si>
  <si>
    <t>Final Remarks</t>
  </si>
  <si>
    <t>AL-BASSEER</t>
  </si>
  <si>
    <t>9884994618 / 9884944618</t>
  </si>
  <si>
    <t>Dip &amp; Dash</t>
  </si>
  <si>
    <t>April</t>
  </si>
  <si>
    <t>Kg</t>
  </si>
  <si>
    <t>Frozen Buys</t>
  </si>
  <si>
    <t>TVR/972/26-27</t>
  </si>
  <si>
    <t>0.600 Kg</t>
  </si>
  <si>
    <t>5.000 Kg</t>
  </si>
  <si>
    <t>0.623 Kg</t>
  </si>
  <si>
    <t>0.750 Kg</t>
  </si>
  <si>
    <t>0.200 Kg</t>
  </si>
  <si>
    <t>1.200 Kg</t>
  </si>
  <si>
    <t>0.680 Kg</t>
  </si>
  <si>
    <t>0.750 LT</t>
  </si>
  <si>
    <t>0.775 Lt</t>
  </si>
  <si>
    <t>1000 Lt</t>
  </si>
  <si>
    <t>1000 Kg</t>
  </si>
  <si>
    <t>0.500 Kg</t>
  </si>
  <si>
    <t>0.480 Kg</t>
  </si>
  <si>
    <t>7.500 Kg</t>
  </si>
  <si>
    <t>SHOUKAT ALI</t>
  </si>
  <si>
    <t>kg</t>
  </si>
  <si>
    <t>Bread and Butter Foods</t>
  </si>
  <si>
    <t>9790708688 / 9600108688</t>
  </si>
  <si>
    <t>Set</t>
  </si>
  <si>
    <t>JN Traders</t>
  </si>
  <si>
    <t>PRO/25-26/00118</t>
  </si>
  <si>
    <t>Nos</t>
  </si>
  <si>
    <t>Sri Subbu Store</t>
  </si>
  <si>
    <t>8675588877 / 9080037348</t>
  </si>
  <si>
    <t>SI6221</t>
  </si>
  <si>
    <t>Victory Frozen Foods</t>
  </si>
  <si>
    <t>044-42073411</t>
  </si>
  <si>
    <t>26C01006950</t>
  </si>
  <si>
    <t>Pkt</t>
  </si>
  <si>
    <t>ICE MAX</t>
  </si>
  <si>
    <t>8680053981 / 9962775756 / 044-43114445</t>
  </si>
  <si>
    <t>FRESH 'N' JUICY</t>
  </si>
  <si>
    <t>9566009334 / 7010006386</t>
  </si>
  <si>
    <t>1007/26-27</t>
  </si>
  <si>
    <t>1 Kg's- 98rs</t>
  </si>
  <si>
    <t>0.650 Grms</t>
  </si>
  <si>
    <t>1 Kg's- 74rs</t>
  </si>
  <si>
    <t>0.300 Grms</t>
  </si>
  <si>
    <t>Kg's</t>
  </si>
  <si>
    <t>D Mart-Velachery</t>
  </si>
  <si>
    <t>044-22430134</t>
  </si>
  <si>
    <t>600504012-006959</t>
  </si>
  <si>
    <t>5-Ltr's</t>
  </si>
  <si>
    <t>2-Ltr's</t>
  </si>
  <si>
    <t>1-Kg's</t>
  </si>
  <si>
    <t>3kg</t>
  </si>
  <si>
    <t>Payment Paid by Ansar Ali Anna -30-Apr-26</t>
  </si>
  <si>
    <t>5kg</t>
  </si>
  <si>
    <t>2kg</t>
  </si>
  <si>
    <t xml:space="preserve">7kg -53 pices </t>
  </si>
  <si>
    <t>May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</si>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</sst>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 applyAlignment="1">
      <alignment horizontal="left" vertical="top"/>
    </xf>
    <xf numFmtId="2" fontId="0" fillId="0" borderId="1" xfId="0" applyNumberFormat="1" applyBorder="1" applyAlignment="1">
      <alignment horizontal="left" vertical="top"/>
    </xf>
    <xf numFmtId="9" fontId="0" fillId="0" borderId="1" xfId="0" applyNumberFormat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2" fillId="2" borderId="1" xfId="0" applyFont="1" applyFill="1" applyBorder="1"/>
    <xf numFmtId="2" fontId="2" fillId="2" borderId="1" xfId="0" applyNumberFormat="1" applyFont="1" applyFill="1" applyBorder="1"/>
    <xf numFmtId="2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61BB-111B-447F-BF0C-177A869F10EC}">
  <dimension ref="A1:P77"/>
  <sheetViews>
    <sheetView tabSelected="1" workbookViewId="0">
      <selection activeCell="H2" sqref="H2"/>
    </sheetView>
  </sheetViews>
  <sheetFormatPr defaultRowHeight="14.4" x14ac:dyDescent="0.3"/>
  <cols>
    <col min="1" max="1" width="66.77734375" customWidth="1"/>
    <col min="3" max="3" width="26.44140625" customWidth="1"/>
    <col min="5" max="5" width="12.77734375" bestFit="1" customWidth="1"/>
    <col min="8" max="8" width="10.5546875" bestFit="1" customWidth="1"/>
    <col min="9" max="9" width="7.21875" bestFit="1" customWidth="1"/>
    <col min="10" max="10" width="11.6640625" bestFit="1" customWidth="1"/>
    <col min="14" max="14" width="10.33203125" bestFit="1" customWidth="1"/>
    <col min="15" max="15" width="10.21875" bestFit="1" customWidth="1"/>
    <col min="16" max="16" width="12.33203125" bestFit="1" customWidth="1"/>
  </cols>
  <sheetData>
    <row r="1" spans="1:16" ht="33.6" x14ac:dyDescent="0.65">
      <c r="A1" s="3" t="s">
        <v>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0</v>
      </c>
      <c r="I2" s="1" t="s">
        <v>71</v>
      </c>
      <c r="J2" s="1" t="s">
        <v>72</v>
      </c>
      <c r="K2" s="5" t="s">
        <v>73</v>
      </c>
      <c r="L2" s="1" t="s">
        <v>74</v>
      </c>
      <c r="M2" s="1" t="s">
        <v>75</v>
      </c>
      <c r="N2" s="5" t="s">
        <v>76</v>
      </c>
      <c r="O2" s="5" t="s">
        <v>77</v>
      </c>
      <c r="P2" s="5" t="s">
        <v>78</v>
      </c>
    </row>
    <row r="3" spans="1:16" x14ac:dyDescent="0.3">
      <c r="A3" s="6">
        <v>1</v>
      </c>
      <c r="B3" s="2" t="s">
        <v>79</v>
      </c>
      <c r="C3" s="2" t="s">
        <v>80</v>
      </c>
      <c r="D3" s="2">
        <v>166</v>
      </c>
      <c r="E3" s="7">
        <v>46127</v>
      </c>
      <c r="F3" s="2" t="s">
        <v>81</v>
      </c>
      <c r="G3" s="2" t="s">
        <v>82</v>
      </c>
      <c r="H3" s="2" t="s">
        <v>1</v>
      </c>
      <c r="I3" s="2" t="s">
        <v>83</v>
      </c>
      <c r="J3" s="2">
        <v>16</v>
      </c>
      <c r="K3" s="8">
        <v>350</v>
      </c>
      <c r="L3" s="8">
        <f t="shared" ref="L3:L66" si="0">K3*J3</f>
        <v>5600</v>
      </c>
      <c r="M3" s="9">
        <v>0</v>
      </c>
      <c r="N3" s="8">
        <f t="shared" ref="N3:N66" si="1">M3*L3</f>
        <v>0</v>
      </c>
      <c r="O3" s="8">
        <f t="shared" ref="O3:O66" si="2">N3+L3</f>
        <v>5600</v>
      </c>
      <c r="P3" s="6"/>
    </row>
    <row r="4" spans="1:16" x14ac:dyDescent="0.3">
      <c r="A4" s="6">
        <v>2</v>
      </c>
      <c r="B4" s="2" t="s">
        <v>84</v>
      </c>
      <c r="C4" s="2"/>
      <c r="D4" s="2" t="s">
        <v>85</v>
      </c>
      <c r="E4" s="7">
        <v>46127</v>
      </c>
      <c r="F4" s="2" t="s">
        <v>81</v>
      </c>
      <c r="G4" s="2" t="s">
        <v>82</v>
      </c>
      <c r="H4" s="2" t="s">
        <v>2</v>
      </c>
      <c r="I4" s="2" t="s">
        <v>86</v>
      </c>
      <c r="J4" s="2">
        <v>12</v>
      </c>
      <c r="K4" s="8">
        <v>20.474999999999998</v>
      </c>
      <c r="L4" s="8">
        <f t="shared" si="0"/>
        <v>245.7</v>
      </c>
      <c r="M4" s="9">
        <v>0.05</v>
      </c>
      <c r="N4" s="8">
        <f t="shared" si="1"/>
        <v>12.285</v>
      </c>
      <c r="O4" s="8">
        <f t="shared" si="2"/>
        <v>257.98500000000001</v>
      </c>
      <c r="P4" s="6"/>
    </row>
    <row r="5" spans="1:16" x14ac:dyDescent="0.3">
      <c r="A5" s="6">
        <v>3</v>
      </c>
      <c r="B5" s="2" t="s">
        <v>84</v>
      </c>
      <c r="C5" s="2"/>
      <c r="D5" s="2" t="s">
        <v>85</v>
      </c>
      <c r="E5" s="7">
        <v>46127</v>
      </c>
      <c r="F5" s="2" t="s">
        <v>81</v>
      </c>
      <c r="G5" s="2" t="s">
        <v>82</v>
      </c>
      <c r="H5" s="2" t="s">
        <v>3</v>
      </c>
      <c r="I5" s="2" t="s">
        <v>87</v>
      </c>
      <c r="J5" s="2">
        <v>12</v>
      </c>
      <c r="K5" s="8">
        <v>78.966666666666669</v>
      </c>
      <c r="L5" s="8">
        <f t="shared" si="0"/>
        <v>947.6</v>
      </c>
      <c r="M5" s="9">
        <v>0.05</v>
      </c>
      <c r="N5" s="8">
        <f t="shared" si="1"/>
        <v>47.38</v>
      </c>
      <c r="O5" s="8">
        <f t="shared" si="2"/>
        <v>994.98</v>
      </c>
      <c r="P5" s="6"/>
    </row>
    <row r="6" spans="1:16" x14ac:dyDescent="0.3">
      <c r="A6" s="6">
        <v>4</v>
      </c>
      <c r="B6" s="2" t="s">
        <v>84</v>
      </c>
      <c r="C6" s="2"/>
      <c r="D6" s="2" t="s">
        <v>85</v>
      </c>
      <c r="E6" s="7">
        <v>46127</v>
      </c>
      <c r="F6" s="2" t="s">
        <v>81</v>
      </c>
      <c r="G6" s="2" t="s">
        <v>82</v>
      </c>
      <c r="H6" s="2" t="s">
        <v>4</v>
      </c>
      <c r="I6" s="2" t="s">
        <v>88</v>
      </c>
      <c r="J6" s="2">
        <v>1</v>
      </c>
      <c r="K6" s="8">
        <v>205.71</v>
      </c>
      <c r="L6" s="8">
        <f t="shared" si="0"/>
        <v>205.71</v>
      </c>
      <c r="M6" s="9">
        <v>0.05</v>
      </c>
      <c r="N6" s="8">
        <f t="shared" si="1"/>
        <v>10.285500000000001</v>
      </c>
      <c r="O6" s="8">
        <f t="shared" si="2"/>
        <v>215.99550000000002</v>
      </c>
      <c r="P6" s="6"/>
    </row>
    <row r="7" spans="1:16" x14ac:dyDescent="0.3">
      <c r="A7" s="6">
        <v>5</v>
      </c>
      <c r="B7" s="2" t="s">
        <v>84</v>
      </c>
      <c r="C7" s="2"/>
      <c r="D7" s="2" t="s">
        <v>85</v>
      </c>
      <c r="E7" s="7">
        <v>46127</v>
      </c>
      <c r="F7" s="2" t="s">
        <v>81</v>
      </c>
      <c r="G7" s="2" t="s">
        <v>82</v>
      </c>
      <c r="H7" s="2" t="s">
        <v>5</v>
      </c>
      <c r="I7" s="2" t="s">
        <v>89</v>
      </c>
      <c r="J7" s="2">
        <v>24</v>
      </c>
      <c r="K7" s="8">
        <v>1.5475000000000001</v>
      </c>
      <c r="L7" s="8">
        <f t="shared" si="0"/>
        <v>37.14</v>
      </c>
      <c r="M7" s="9">
        <v>0.05</v>
      </c>
      <c r="N7" s="8">
        <f t="shared" si="1"/>
        <v>1.8570000000000002</v>
      </c>
      <c r="O7" s="8">
        <f t="shared" si="2"/>
        <v>38.997</v>
      </c>
      <c r="P7" s="6"/>
    </row>
    <row r="8" spans="1:16" x14ac:dyDescent="0.3">
      <c r="A8" s="6">
        <v>6</v>
      </c>
      <c r="B8" s="2" t="s">
        <v>84</v>
      </c>
      <c r="C8" s="2"/>
      <c r="D8" s="2" t="s">
        <v>85</v>
      </c>
      <c r="E8" s="7">
        <v>46127</v>
      </c>
      <c r="F8" s="2" t="s">
        <v>81</v>
      </c>
      <c r="G8" s="2" t="s">
        <v>82</v>
      </c>
      <c r="H8" s="2" t="s">
        <v>6</v>
      </c>
      <c r="I8" s="2" t="s">
        <v>90</v>
      </c>
      <c r="J8" s="2">
        <v>48</v>
      </c>
      <c r="K8" s="8">
        <v>0.83333333333333337</v>
      </c>
      <c r="L8" s="8">
        <f t="shared" si="0"/>
        <v>40</v>
      </c>
      <c r="M8" s="9">
        <v>0.05</v>
      </c>
      <c r="N8" s="8">
        <f t="shared" si="1"/>
        <v>2</v>
      </c>
      <c r="O8" s="8">
        <f t="shared" si="2"/>
        <v>42</v>
      </c>
      <c r="P8" s="6"/>
    </row>
    <row r="9" spans="1:16" x14ac:dyDescent="0.3">
      <c r="A9" s="6">
        <v>7</v>
      </c>
      <c r="B9" s="2" t="s">
        <v>84</v>
      </c>
      <c r="C9" s="2"/>
      <c r="D9" s="2" t="s">
        <v>85</v>
      </c>
      <c r="E9" s="7">
        <v>46127</v>
      </c>
      <c r="F9" s="2" t="s">
        <v>81</v>
      </c>
      <c r="G9" s="2" t="s">
        <v>82</v>
      </c>
      <c r="H9" s="2" t="s">
        <v>7</v>
      </c>
      <c r="I9" s="2" t="s">
        <v>91</v>
      </c>
      <c r="J9" s="2">
        <v>12</v>
      </c>
      <c r="K9" s="8">
        <v>6.666666666666667</v>
      </c>
      <c r="L9" s="8">
        <f t="shared" si="0"/>
        <v>80</v>
      </c>
      <c r="M9" s="9">
        <v>0.05</v>
      </c>
      <c r="N9" s="8">
        <f t="shared" si="1"/>
        <v>4</v>
      </c>
      <c r="O9" s="8">
        <f t="shared" si="2"/>
        <v>84</v>
      </c>
      <c r="P9" s="6"/>
    </row>
    <row r="10" spans="1:16" x14ac:dyDescent="0.3">
      <c r="A10" s="6">
        <v>8</v>
      </c>
      <c r="B10" s="2" t="s">
        <v>84</v>
      </c>
      <c r="C10" s="2"/>
      <c r="D10" s="2" t="s">
        <v>85</v>
      </c>
      <c r="E10" s="7">
        <v>46127</v>
      </c>
      <c r="F10" s="2" t="s">
        <v>81</v>
      </c>
      <c r="G10" s="2" t="s">
        <v>82</v>
      </c>
      <c r="H10" s="2" t="s">
        <v>8</v>
      </c>
      <c r="I10" s="2" t="s">
        <v>92</v>
      </c>
      <c r="J10" s="2">
        <v>24</v>
      </c>
      <c r="K10" s="8">
        <v>1.5079166666666666</v>
      </c>
      <c r="L10" s="8">
        <f t="shared" si="0"/>
        <v>36.19</v>
      </c>
      <c r="M10" s="9">
        <v>0.05</v>
      </c>
      <c r="N10" s="8">
        <f t="shared" si="1"/>
        <v>1.8094999999999999</v>
      </c>
      <c r="O10" s="8">
        <f t="shared" si="2"/>
        <v>37.999499999999998</v>
      </c>
      <c r="P10" s="6"/>
    </row>
    <row r="11" spans="1:16" x14ac:dyDescent="0.3">
      <c r="A11" s="6">
        <v>9</v>
      </c>
      <c r="B11" s="2" t="s">
        <v>84</v>
      </c>
      <c r="C11" s="2"/>
      <c r="D11" s="2" t="s">
        <v>85</v>
      </c>
      <c r="E11" s="7">
        <v>46127</v>
      </c>
      <c r="F11" s="2" t="s">
        <v>81</v>
      </c>
      <c r="G11" s="2" t="s">
        <v>82</v>
      </c>
      <c r="H11" s="2" t="s">
        <v>9</v>
      </c>
      <c r="I11" s="2" t="s">
        <v>93</v>
      </c>
      <c r="J11" s="2">
        <v>12</v>
      </c>
      <c r="K11" s="8">
        <v>13.809166666666668</v>
      </c>
      <c r="L11" s="8">
        <f t="shared" si="0"/>
        <v>165.71</v>
      </c>
      <c r="M11" s="9">
        <v>0.05</v>
      </c>
      <c r="N11" s="8">
        <f t="shared" si="1"/>
        <v>8.2855000000000008</v>
      </c>
      <c r="O11" s="8">
        <f t="shared" si="2"/>
        <v>173.99550000000002</v>
      </c>
      <c r="P11" s="6"/>
    </row>
    <row r="12" spans="1:16" x14ac:dyDescent="0.3">
      <c r="A12" s="6">
        <v>10</v>
      </c>
      <c r="B12" s="2" t="s">
        <v>84</v>
      </c>
      <c r="C12" s="2"/>
      <c r="D12" s="2" t="s">
        <v>85</v>
      </c>
      <c r="E12" s="7">
        <v>46127</v>
      </c>
      <c r="F12" s="2" t="s">
        <v>81</v>
      </c>
      <c r="G12" s="2" t="s">
        <v>82</v>
      </c>
      <c r="H12" s="2" t="s">
        <v>10</v>
      </c>
      <c r="I12" s="2" t="s">
        <v>94</v>
      </c>
      <c r="J12" s="2">
        <v>1</v>
      </c>
      <c r="K12" s="8">
        <v>350.48</v>
      </c>
      <c r="L12" s="8">
        <f t="shared" si="0"/>
        <v>350.48</v>
      </c>
      <c r="M12" s="9">
        <v>0.05</v>
      </c>
      <c r="N12" s="8">
        <f t="shared" si="1"/>
        <v>17.524000000000001</v>
      </c>
      <c r="O12" s="8">
        <f t="shared" si="2"/>
        <v>368.00400000000002</v>
      </c>
      <c r="P12" s="6"/>
    </row>
    <row r="13" spans="1:16" x14ac:dyDescent="0.3">
      <c r="A13" s="6">
        <v>11</v>
      </c>
      <c r="B13" s="2" t="s">
        <v>84</v>
      </c>
      <c r="C13" s="2"/>
      <c r="D13" s="2" t="s">
        <v>85</v>
      </c>
      <c r="E13" s="7">
        <v>46127</v>
      </c>
      <c r="F13" s="2" t="s">
        <v>81</v>
      </c>
      <c r="G13" s="2" t="s">
        <v>82</v>
      </c>
      <c r="H13" s="2" t="s">
        <v>11</v>
      </c>
      <c r="I13" s="2" t="s">
        <v>92</v>
      </c>
      <c r="J13" s="2">
        <v>12</v>
      </c>
      <c r="K13" s="8">
        <v>7.8575000000000008</v>
      </c>
      <c r="L13" s="8">
        <f t="shared" si="0"/>
        <v>94.29</v>
      </c>
      <c r="M13" s="9">
        <v>0.05</v>
      </c>
      <c r="N13" s="8">
        <f t="shared" si="1"/>
        <v>4.7145000000000001</v>
      </c>
      <c r="O13" s="8">
        <f t="shared" si="2"/>
        <v>99.004500000000007</v>
      </c>
      <c r="P13" s="6"/>
    </row>
    <row r="14" spans="1:16" x14ac:dyDescent="0.3">
      <c r="A14" s="6">
        <v>12</v>
      </c>
      <c r="B14" s="2" t="s">
        <v>84</v>
      </c>
      <c r="C14" s="2"/>
      <c r="D14" s="2" t="s">
        <v>85</v>
      </c>
      <c r="E14" s="7">
        <v>46127</v>
      </c>
      <c r="F14" s="2" t="s">
        <v>81</v>
      </c>
      <c r="G14" s="2" t="s">
        <v>82</v>
      </c>
      <c r="H14" s="2" t="s">
        <v>12</v>
      </c>
      <c r="I14" s="2" t="s">
        <v>95</v>
      </c>
      <c r="J14" s="2">
        <v>12</v>
      </c>
      <c r="K14" s="8">
        <v>18.833333333333332</v>
      </c>
      <c r="L14" s="8">
        <f t="shared" si="0"/>
        <v>226</v>
      </c>
      <c r="M14" s="9">
        <v>0</v>
      </c>
      <c r="N14" s="8">
        <f t="shared" si="1"/>
        <v>0</v>
      </c>
      <c r="O14" s="8">
        <f t="shared" si="2"/>
        <v>226</v>
      </c>
      <c r="P14" s="6"/>
    </row>
    <row r="15" spans="1:16" x14ac:dyDescent="0.3">
      <c r="A15" s="6">
        <v>13</v>
      </c>
      <c r="B15" s="2" t="s">
        <v>84</v>
      </c>
      <c r="C15" s="2"/>
      <c r="D15" s="2" t="s">
        <v>85</v>
      </c>
      <c r="E15" s="7">
        <v>46127</v>
      </c>
      <c r="F15" s="2" t="s">
        <v>81</v>
      </c>
      <c r="G15" s="2" t="s">
        <v>82</v>
      </c>
      <c r="H15" s="2" t="s">
        <v>13</v>
      </c>
      <c r="I15" s="2" t="s">
        <v>96</v>
      </c>
      <c r="J15" s="2">
        <v>10</v>
      </c>
      <c r="K15" s="8">
        <v>27.143000000000001</v>
      </c>
      <c r="L15" s="8">
        <f t="shared" si="0"/>
        <v>271.43</v>
      </c>
      <c r="M15" s="9">
        <v>0.05</v>
      </c>
      <c r="N15" s="8">
        <f t="shared" si="1"/>
        <v>13.5715</v>
      </c>
      <c r="O15" s="8">
        <f t="shared" si="2"/>
        <v>285.00150000000002</v>
      </c>
      <c r="P15" s="6"/>
    </row>
    <row r="16" spans="1:16" x14ac:dyDescent="0.3">
      <c r="A16" s="6">
        <v>14</v>
      </c>
      <c r="B16" s="2" t="s">
        <v>84</v>
      </c>
      <c r="C16" s="2"/>
      <c r="D16" s="2" t="s">
        <v>85</v>
      </c>
      <c r="E16" s="7">
        <v>46127</v>
      </c>
      <c r="F16" s="2" t="s">
        <v>81</v>
      </c>
      <c r="G16" s="2" t="s">
        <v>82</v>
      </c>
      <c r="H16" s="2" t="s">
        <v>14</v>
      </c>
      <c r="I16" s="2" t="s">
        <v>96</v>
      </c>
      <c r="J16" s="2">
        <v>10</v>
      </c>
      <c r="K16" s="8">
        <v>44</v>
      </c>
      <c r="L16" s="8">
        <f t="shared" si="0"/>
        <v>440</v>
      </c>
      <c r="M16" s="9">
        <v>0.05</v>
      </c>
      <c r="N16" s="8">
        <f t="shared" si="1"/>
        <v>22</v>
      </c>
      <c r="O16" s="8">
        <f t="shared" si="2"/>
        <v>462</v>
      </c>
      <c r="P16" s="6"/>
    </row>
    <row r="17" spans="1:16" x14ac:dyDescent="0.3">
      <c r="A17" s="6">
        <v>15</v>
      </c>
      <c r="B17" s="2" t="s">
        <v>84</v>
      </c>
      <c r="C17" s="2"/>
      <c r="D17" s="2" t="s">
        <v>85</v>
      </c>
      <c r="E17" s="7">
        <v>46127</v>
      </c>
      <c r="F17" s="2" t="s">
        <v>81</v>
      </c>
      <c r="G17" s="2" t="s">
        <v>82</v>
      </c>
      <c r="H17" s="2" t="s">
        <v>15</v>
      </c>
      <c r="I17" s="2" t="s">
        <v>97</v>
      </c>
      <c r="J17" s="2">
        <v>1</v>
      </c>
      <c r="K17" s="8">
        <v>147.62</v>
      </c>
      <c r="L17" s="8">
        <f t="shared" si="0"/>
        <v>147.62</v>
      </c>
      <c r="M17" s="9">
        <v>0.05</v>
      </c>
      <c r="N17" s="8">
        <f t="shared" si="1"/>
        <v>7.3810000000000002</v>
      </c>
      <c r="O17" s="8">
        <f t="shared" si="2"/>
        <v>155.001</v>
      </c>
      <c r="P17" s="6"/>
    </row>
    <row r="18" spans="1:16" x14ac:dyDescent="0.3">
      <c r="A18" s="6">
        <v>16</v>
      </c>
      <c r="B18" s="2" t="s">
        <v>84</v>
      </c>
      <c r="C18" s="2"/>
      <c r="D18" s="2" t="s">
        <v>85</v>
      </c>
      <c r="E18" s="7">
        <v>46127</v>
      </c>
      <c r="F18" s="2" t="s">
        <v>81</v>
      </c>
      <c r="G18" s="2" t="s">
        <v>82</v>
      </c>
      <c r="H18" s="2" t="s">
        <v>16</v>
      </c>
      <c r="I18" s="2" t="s">
        <v>97</v>
      </c>
      <c r="J18" s="2">
        <v>1</v>
      </c>
      <c r="K18" s="8">
        <v>181.9</v>
      </c>
      <c r="L18" s="8">
        <f t="shared" si="0"/>
        <v>181.9</v>
      </c>
      <c r="M18" s="9">
        <v>0.05</v>
      </c>
      <c r="N18" s="8">
        <f t="shared" si="1"/>
        <v>9.0950000000000006</v>
      </c>
      <c r="O18" s="8">
        <f t="shared" si="2"/>
        <v>190.995</v>
      </c>
      <c r="P18" s="6"/>
    </row>
    <row r="19" spans="1:16" x14ac:dyDescent="0.3">
      <c r="A19" s="6">
        <v>17</v>
      </c>
      <c r="B19" s="2" t="s">
        <v>84</v>
      </c>
      <c r="C19" s="2"/>
      <c r="D19" s="2" t="s">
        <v>85</v>
      </c>
      <c r="E19" s="7">
        <v>46127</v>
      </c>
      <c r="F19" s="2" t="s">
        <v>81</v>
      </c>
      <c r="G19" s="2" t="s">
        <v>82</v>
      </c>
      <c r="H19" s="2" t="s">
        <v>17</v>
      </c>
      <c r="I19" s="2" t="s">
        <v>97</v>
      </c>
      <c r="J19" s="2">
        <v>30</v>
      </c>
      <c r="K19" s="8">
        <v>8.5866666666666678</v>
      </c>
      <c r="L19" s="8">
        <f t="shared" si="0"/>
        <v>257.60000000000002</v>
      </c>
      <c r="M19" s="9">
        <v>0.05</v>
      </c>
      <c r="N19" s="8">
        <f t="shared" si="1"/>
        <v>12.880000000000003</v>
      </c>
      <c r="O19" s="8">
        <f t="shared" si="2"/>
        <v>270.48</v>
      </c>
      <c r="P19" s="6"/>
    </row>
    <row r="20" spans="1:16" x14ac:dyDescent="0.3">
      <c r="A20" s="6">
        <v>18</v>
      </c>
      <c r="B20" s="2" t="s">
        <v>84</v>
      </c>
      <c r="C20" s="2"/>
      <c r="D20" s="2" t="s">
        <v>85</v>
      </c>
      <c r="E20" s="7">
        <v>46127</v>
      </c>
      <c r="F20" s="2" t="s">
        <v>81</v>
      </c>
      <c r="G20" s="2" t="s">
        <v>82</v>
      </c>
      <c r="H20" s="2" t="s">
        <v>18</v>
      </c>
      <c r="I20" s="2" t="s">
        <v>98</v>
      </c>
      <c r="J20" s="2">
        <v>40</v>
      </c>
      <c r="K20" s="8">
        <v>7.0950000000000006</v>
      </c>
      <c r="L20" s="8">
        <f t="shared" si="0"/>
        <v>283.8</v>
      </c>
      <c r="M20" s="9">
        <v>0.05</v>
      </c>
      <c r="N20" s="8">
        <f t="shared" si="1"/>
        <v>14.190000000000001</v>
      </c>
      <c r="O20" s="8">
        <f t="shared" si="2"/>
        <v>297.99</v>
      </c>
      <c r="P20" s="6"/>
    </row>
    <row r="21" spans="1:16" x14ac:dyDescent="0.3">
      <c r="A21" s="6">
        <v>19</v>
      </c>
      <c r="B21" s="2" t="s">
        <v>84</v>
      </c>
      <c r="C21" s="2"/>
      <c r="D21" s="2" t="s">
        <v>85</v>
      </c>
      <c r="E21" s="7">
        <v>46127</v>
      </c>
      <c r="F21" s="2" t="s">
        <v>81</v>
      </c>
      <c r="G21" s="2" t="s">
        <v>82</v>
      </c>
      <c r="H21" s="2" t="s">
        <v>19</v>
      </c>
      <c r="I21" s="2" t="s">
        <v>99</v>
      </c>
      <c r="J21" s="2">
        <v>5</v>
      </c>
      <c r="K21" s="8">
        <v>140.1</v>
      </c>
      <c r="L21" s="8">
        <f t="shared" si="0"/>
        <v>700.5</v>
      </c>
      <c r="M21" s="9">
        <v>0.05</v>
      </c>
      <c r="N21" s="8">
        <f t="shared" si="1"/>
        <v>35.024999999999999</v>
      </c>
      <c r="O21" s="8">
        <f t="shared" si="2"/>
        <v>735.52499999999998</v>
      </c>
      <c r="P21" s="6"/>
    </row>
    <row r="22" spans="1:16" x14ac:dyDescent="0.3">
      <c r="A22" s="6">
        <v>20</v>
      </c>
      <c r="B22" s="2" t="s">
        <v>100</v>
      </c>
      <c r="C22" s="2">
        <v>9840038381</v>
      </c>
      <c r="D22" s="2">
        <v>535</v>
      </c>
      <c r="E22" s="7">
        <v>46129</v>
      </c>
      <c r="F22" s="2" t="s">
        <v>81</v>
      </c>
      <c r="G22" s="2" t="s">
        <v>82</v>
      </c>
      <c r="H22" s="2" t="s">
        <v>20</v>
      </c>
      <c r="I22" s="2" t="s">
        <v>101</v>
      </c>
      <c r="J22" s="2">
        <v>3</v>
      </c>
      <c r="K22" s="8">
        <v>310</v>
      </c>
      <c r="L22" s="8">
        <f t="shared" si="0"/>
        <v>930</v>
      </c>
      <c r="M22" s="9">
        <v>0</v>
      </c>
      <c r="N22" s="8">
        <f t="shared" si="1"/>
        <v>0</v>
      </c>
      <c r="O22" s="8">
        <f t="shared" si="2"/>
        <v>930</v>
      </c>
      <c r="P22" s="6"/>
    </row>
    <row r="23" spans="1:16" x14ac:dyDescent="0.3">
      <c r="A23" s="6">
        <v>21</v>
      </c>
      <c r="B23" s="2" t="s">
        <v>100</v>
      </c>
      <c r="C23" s="2">
        <v>9840038381</v>
      </c>
      <c r="D23" s="2">
        <v>535</v>
      </c>
      <c r="E23" s="7">
        <v>46129</v>
      </c>
      <c r="F23" s="2" t="s">
        <v>81</v>
      </c>
      <c r="G23" s="2" t="s">
        <v>82</v>
      </c>
      <c r="H23" s="2" t="s">
        <v>21</v>
      </c>
      <c r="I23" s="2" t="s">
        <v>101</v>
      </c>
      <c r="J23" s="2">
        <v>5</v>
      </c>
      <c r="K23" s="8">
        <v>310</v>
      </c>
      <c r="L23" s="8">
        <f t="shared" si="0"/>
        <v>1550</v>
      </c>
      <c r="M23" s="9">
        <v>0</v>
      </c>
      <c r="N23" s="8">
        <f t="shared" si="1"/>
        <v>0</v>
      </c>
      <c r="O23" s="8">
        <f t="shared" si="2"/>
        <v>1550</v>
      </c>
      <c r="P23" s="6"/>
    </row>
    <row r="24" spans="1:16" x14ac:dyDescent="0.3">
      <c r="A24" s="6">
        <v>22</v>
      </c>
      <c r="B24" s="2" t="s">
        <v>100</v>
      </c>
      <c r="C24" s="2">
        <v>9840038381</v>
      </c>
      <c r="D24" s="2">
        <v>535</v>
      </c>
      <c r="E24" s="7">
        <v>46129</v>
      </c>
      <c r="F24" s="2" t="s">
        <v>81</v>
      </c>
      <c r="G24" s="2" t="s">
        <v>82</v>
      </c>
      <c r="H24" s="2" t="s">
        <v>22</v>
      </c>
      <c r="I24" s="2" t="s">
        <v>101</v>
      </c>
      <c r="J24" s="2">
        <v>5</v>
      </c>
      <c r="K24" s="8">
        <v>182</v>
      </c>
      <c r="L24" s="8">
        <f t="shared" si="0"/>
        <v>910</v>
      </c>
      <c r="M24" s="9">
        <v>0</v>
      </c>
      <c r="N24" s="8">
        <f t="shared" si="1"/>
        <v>0</v>
      </c>
      <c r="O24" s="8">
        <f t="shared" si="2"/>
        <v>910</v>
      </c>
      <c r="P24" s="6"/>
    </row>
    <row r="25" spans="1:16" x14ac:dyDescent="0.3">
      <c r="A25" s="6">
        <v>23</v>
      </c>
      <c r="B25" s="2" t="s">
        <v>102</v>
      </c>
      <c r="C25" s="2" t="s">
        <v>103</v>
      </c>
      <c r="D25" s="2">
        <v>16354</v>
      </c>
      <c r="E25" s="7">
        <v>46129</v>
      </c>
      <c r="F25" s="2" t="s">
        <v>81</v>
      </c>
      <c r="G25" s="2" t="s">
        <v>82</v>
      </c>
      <c r="H25" s="2" t="s">
        <v>23</v>
      </c>
      <c r="I25" s="2" t="s">
        <v>104</v>
      </c>
      <c r="J25" s="2">
        <v>52</v>
      </c>
      <c r="K25" s="8">
        <v>25</v>
      </c>
      <c r="L25" s="8">
        <f t="shared" si="0"/>
        <v>1300</v>
      </c>
      <c r="M25" s="9">
        <v>0</v>
      </c>
      <c r="N25" s="8">
        <f t="shared" si="1"/>
        <v>0</v>
      </c>
      <c r="O25" s="8">
        <f t="shared" si="2"/>
        <v>1300</v>
      </c>
      <c r="P25" s="6"/>
    </row>
    <row r="26" spans="1:16" x14ac:dyDescent="0.3">
      <c r="A26" s="6">
        <v>24</v>
      </c>
      <c r="B26" s="2" t="s">
        <v>105</v>
      </c>
      <c r="C26" s="2">
        <v>8939941174</v>
      </c>
      <c r="D26" s="2" t="s">
        <v>106</v>
      </c>
      <c r="E26" s="7">
        <v>46128</v>
      </c>
      <c r="F26" s="2" t="s">
        <v>81</v>
      </c>
      <c r="G26" s="2" t="s">
        <v>82</v>
      </c>
      <c r="H26" s="2" t="s">
        <v>24</v>
      </c>
      <c r="I26" s="2" t="s">
        <v>107</v>
      </c>
      <c r="J26" s="2">
        <v>1</v>
      </c>
      <c r="K26" s="8">
        <v>325</v>
      </c>
      <c r="L26" s="8">
        <f t="shared" si="0"/>
        <v>325</v>
      </c>
      <c r="M26" s="9">
        <v>0.05</v>
      </c>
      <c r="N26" s="8">
        <f t="shared" si="1"/>
        <v>16.25</v>
      </c>
      <c r="O26" s="8">
        <f t="shared" si="2"/>
        <v>341.25</v>
      </c>
      <c r="P26" s="6"/>
    </row>
    <row r="27" spans="1:16" x14ac:dyDescent="0.3">
      <c r="A27" s="6">
        <v>25</v>
      </c>
      <c r="B27" s="2" t="s">
        <v>105</v>
      </c>
      <c r="C27" s="2">
        <v>8939941174</v>
      </c>
      <c r="D27" s="2" t="s">
        <v>106</v>
      </c>
      <c r="E27" s="7">
        <v>46128</v>
      </c>
      <c r="F27" s="2" t="s">
        <v>81</v>
      </c>
      <c r="G27" s="2" t="s">
        <v>82</v>
      </c>
      <c r="H27" s="2" t="s">
        <v>25</v>
      </c>
      <c r="I27" s="2" t="s">
        <v>83</v>
      </c>
      <c r="J27" s="2">
        <v>2</v>
      </c>
      <c r="K27" s="8">
        <v>357</v>
      </c>
      <c r="L27" s="8">
        <f t="shared" si="0"/>
        <v>714</v>
      </c>
      <c r="M27" s="9">
        <v>0.05</v>
      </c>
      <c r="N27" s="8">
        <f t="shared" si="1"/>
        <v>35.700000000000003</v>
      </c>
      <c r="O27" s="8">
        <f t="shared" si="2"/>
        <v>749.7</v>
      </c>
      <c r="P27" s="6"/>
    </row>
    <row r="28" spans="1:16" x14ac:dyDescent="0.3">
      <c r="A28" s="6">
        <v>26</v>
      </c>
      <c r="B28" s="2" t="s">
        <v>105</v>
      </c>
      <c r="C28" s="2">
        <v>8939941174</v>
      </c>
      <c r="D28" s="2" t="s">
        <v>106</v>
      </c>
      <c r="E28" s="7">
        <v>46128</v>
      </c>
      <c r="F28" s="2" t="s">
        <v>81</v>
      </c>
      <c r="G28" s="2" t="s">
        <v>82</v>
      </c>
      <c r="H28" s="2" t="s">
        <v>26</v>
      </c>
      <c r="I28" s="2" t="s">
        <v>83</v>
      </c>
      <c r="J28" s="2">
        <v>1</v>
      </c>
      <c r="K28" s="8">
        <v>346.34</v>
      </c>
      <c r="L28" s="8">
        <f t="shared" si="0"/>
        <v>346.34</v>
      </c>
      <c r="M28" s="9">
        <v>0.05</v>
      </c>
      <c r="N28" s="8">
        <f t="shared" si="1"/>
        <v>17.317</v>
      </c>
      <c r="O28" s="8">
        <f t="shared" si="2"/>
        <v>363.65699999999998</v>
      </c>
      <c r="P28" s="6"/>
    </row>
    <row r="29" spans="1:16" x14ac:dyDescent="0.3">
      <c r="A29" s="6">
        <v>27</v>
      </c>
      <c r="B29" s="2" t="s">
        <v>105</v>
      </c>
      <c r="C29" s="2">
        <v>8939941174</v>
      </c>
      <c r="D29" s="2" t="s">
        <v>106</v>
      </c>
      <c r="E29" s="7">
        <v>46128</v>
      </c>
      <c r="F29" s="2" t="s">
        <v>81</v>
      </c>
      <c r="G29" s="2" t="s">
        <v>82</v>
      </c>
      <c r="H29" s="2" t="s">
        <v>27</v>
      </c>
      <c r="I29" s="2" t="s">
        <v>107</v>
      </c>
      <c r="J29" s="2">
        <v>1</v>
      </c>
      <c r="K29" s="8">
        <v>220</v>
      </c>
      <c r="L29" s="8">
        <f t="shared" si="0"/>
        <v>220</v>
      </c>
      <c r="M29" s="9">
        <v>0.05</v>
      </c>
      <c r="N29" s="8">
        <f t="shared" si="1"/>
        <v>11</v>
      </c>
      <c r="O29" s="8">
        <f t="shared" si="2"/>
        <v>231</v>
      </c>
      <c r="P29" s="6"/>
    </row>
    <row r="30" spans="1:16" x14ac:dyDescent="0.3">
      <c r="A30" s="6">
        <v>28</v>
      </c>
      <c r="B30" s="2" t="s">
        <v>105</v>
      </c>
      <c r="C30" s="2">
        <v>8939941174</v>
      </c>
      <c r="D30" s="2" t="s">
        <v>106</v>
      </c>
      <c r="E30" s="7">
        <v>46128</v>
      </c>
      <c r="F30" s="2" t="s">
        <v>81</v>
      </c>
      <c r="G30" s="2" t="s">
        <v>82</v>
      </c>
      <c r="H30" s="2" t="s">
        <v>28</v>
      </c>
      <c r="I30" s="2" t="s">
        <v>83</v>
      </c>
      <c r="J30" s="2">
        <v>1</v>
      </c>
      <c r="K30" s="8">
        <v>227.27</v>
      </c>
      <c r="L30" s="8">
        <f t="shared" si="0"/>
        <v>227.27</v>
      </c>
      <c r="M30" s="9">
        <v>0.05</v>
      </c>
      <c r="N30" s="8">
        <f t="shared" si="1"/>
        <v>11.363500000000002</v>
      </c>
      <c r="O30" s="8">
        <f t="shared" si="2"/>
        <v>238.63350000000003</v>
      </c>
      <c r="P30" s="6"/>
    </row>
    <row r="31" spans="1:16" x14ac:dyDescent="0.3">
      <c r="A31" s="6">
        <v>29</v>
      </c>
      <c r="B31" s="2" t="s">
        <v>108</v>
      </c>
      <c r="C31" s="2" t="s">
        <v>109</v>
      </c>
      <c r="D31" s="2" t="s">
        <v>110</v>
      </c>
      <c r="E31" s="7">
        <v>46129</v>
      </c>
      <c r="F31" s="2" t="s">
        <v>81</v>
      </c>
      <c r="G31" s="2" t="s">
        <v>82</v>
      </c>
      <c r="H31" s="2" t="s">
        <v>29</v>
      </c>
      <c r="I31" s="2" t="s">
        <v>107</v>
      </c>
      <c r="J31" s="2">
        <v>1</v>
      </c>
      <c r="K31" s="8">
        <v>145</v>
      </c>
      <c r="L31" s="8">
        <f t="shared" si="0"/>
        <v>145</v>
      </c>
      <c r="M31" s="9">
        <v>0</v>
      </c>
      <c r="N31" s="8">
        <f t="shared" si="1"/>
        <v>0</v>
      </c>
      <c r="O31" s="8">
        <f t="shared" si="2"/>
        <v>145</v>
      </c>
      <c r="P31" s="6"/>
    </row>
    <row r="32" spans="1:16" x14ac:dyDescent="0.3">
      <c r="A32" s="6">
        <v>30</v>
      </c>
      <c r="B32" s="2" t="s">
        <v>108</v>
      </c>
      <c r="C32" s="2" t="s">
        <v>109</v>
      </c>
      <c r="D32" s="2" t="s">
        <v>110</v>
      </c>
      <c r="E32" s="7">
        <v>46129</v>
      </c>
      <c r="F32" s="2" t="s">
        <v>81</v>
      </c>
      <c r="G32" s="2" t="s">
        <v>82</v>
      </c>
      <c r="H32" s="2" t="s">
        <v>30</v>
      </c>
      <c r="I32" s="2" t="s">
        <v>107</v>
      </c>
      <c r="J32" s="2">
        <v>5</v>
      </c>
      <c r="K32" s="8">
        <v>43</v>
      </c>
      <c r="L32" s="8">
        <f t="shared" si="0"/>
        <v>215</v>
      </c>
      <c r="M32" s="9">
        <v>0</v>
      </c>
      <c r="N32" s="8">
        <f t="shared" si="1"/>
        <v>0</v>
      </c>
      <c r="O32" s="8">
        <f t="shared" si="2"/>
        <v>215</v>
      </c>
      <c r="P32" s="6"/>
    </row>
    <row r="33" spans="1:16" x14ac:dyDescent="0.3">
      <c r="A33" s="6">
        <v>31</v>
      </c>
      <c r="B33" s="2" t="s">
        <v>108</v>
      </c>
      <c r="C33" s="2" t="s">
        <v>109</v>
      </c>
      <c r="D33" s="2" t="s">
        <v>110</v>
      </c>
      <c r="E33" s="7">
        <v>46129</v>
      </c>
      <c r="F33" s="2" t="s">
        <v>81</v>
      </c>
      <c r="G33" s="2" t="s">
        <v>82</v>
      </c>
      <c r="H33" s="2" t="s">
        <v>31</v>
      </c>
      <c r="I33" s="2" t="s">
        <v>107</v>
      </c>
      <c r="J33" s="2">
        <v>8</v>
      </c>
      <c r="K33" s="8">
        <v>140</v>
      </c>
      <c r="L33" s="8">
        <f t="shared" si="0"/>
        <v>1120</v>
      </c>
      <c r="M33" s="9">
        <v>0</v>
      </c>
      <c r="N33" s="8">
        <f t="shared" si="1"/>
        <v>0</v>
      </c>
      <c r="O33" s="8">
        <f t="shared" si="2"/>
        <v>1120</v>
      </c>
      <c r="P33" s="6"/>
    </row>
    <row r="34" spans="1:16" x14ac:dyDescent="0.3">
      <c r="A34" s="6">
        <v>32</v>
      </c>
      <c r="B34" s="2" t="s">
        <v>108</v>
      </c>
      <c r="C34" s="2" t="s">
        <v>109</v>
      </c>
      <c r="D34" s="2" t="s">
        <v>110</v>
      </c>
      <c r="E34" s="7">
        <v>46129</v>
      </c>
      <c r="F34" s="2" t="s">
        <v>81</v>
      </c>
      <c r="G34" s="2" t="s">
        <v>82</v>
      </c>
      <c r="H34" s="2" t="s">
        <v>32</v>
      </c>
      <c r="I34" s="2" t="s">
        <v>107</v>
      </c>
      <c r="J34" s="2">
        <v>25</v>
      </c>
      <c r="K34" s="8">
        <v>6.15</v>
      </c>
      <c r="L34" s="8">
        <f t="shared" si="0"/>
        <v>153.75</v>
      </c>
      <c r="M34" s="9">
        <v>0</v>
      </c>
      <c r="N34" s="8">
        <f t="shared" si="1"/>
        <v>0</v>
      </c>
      <c r="O34" s="8">
        <f t="shared" si="2"/>
        <v>153.75</v>
      </c>
      <c r="P34" s="6"/>
    </row>
    <row r="35" spans="1:16" x14ac:dyDescent="0.3">
      <c r="A35" s="6">
        <v>33</v>
      </c>
      <c r="B35" s="2" t="s">
        <v>102</v>
      </c>
      <c r="C35" s="2" t="s">
        <v>103</v>
      </c>
      <c r="D35" s="2">
        <v>16368</v>
      </c>
      <c r="E35" s="7">
        <v>46132</v>
      </c>
      <c r="F35" s="2" t="s">
        <v>81</v>
      </c>
      <c r="G35" s="2" t="s">
        <v>82</v>
      </c>
      <c r="H35" s="2" t="s">
        <v>23</v>
      </c>
      <c r="I35" s="2" t="s">
        <v>104</v>
      </c>
      <c r="J35" s="2">
        <v>60</v>
      </c>
      <c r="K35" s="8">
        <v>25</v>
      </c>
      <c r="L35" s="8">
        <f t="shared" si="0"/>
        <v>1500</v>
      </c>
      <c r="M35" s="9">
        <v>0</v>
      </c>
      <c r="N35" s="8">
        <f t="shared" si="1"/>
        <v>0</v>
      </c>
      <c r="O35" s="8">
        <f t="shared" si="2"/>
        <v>1500</v>
      </c>
      <c r="P35" s="6"/>
    </row>
    <row r="36" spans="1:16" x14ac:dyDescent="0.3">
      <c r="A36" s="6">
        <v>34</v>
      </c>
      <c r="B36" s="2" t="s">
        <v>111</v>
      </c>
      <c r="C36" s="2" t="s">
        <v>112</v>
      </c>
      <c r="D36" s="2" t="s">
        <v>113</v>
      </c>
      <c r="E36" s="7">
        <v>46137</v>
      </c>
      <c r="F36" s="2" t="s">
        <v>81</v>
      </c>
      <c r="G36" s="2" t="s">
        <v>82</v>
      </c>
      <c r="H36" s="2" t="s">
        <v>33</v>
      </c>
      <c r="I36" s="2" t="s">
        <v>114</v>
      </c>
      <c r="J36" s="2">
        <v>6</v>
      </c>
      <c r="K36" s="8">
        <v>276.19</v>
      </c>
      <c r="L36" s="8">
        <f t="shared" si="0"/>
        <v>1657.1399999999999</v>
      </c>
      <c r="M36" s="9">
        <v>0.05</v>
      </c>
      <c r="N36" s="8">
        <f t="shared" si="1"/>
        <v>82.856999999999999</v>
      </c>
      <c r="O36" s="8">
        <f t="shared" si="2"/>
        <v>1739.9969999999998</v>
      </c>
      <c r="P36" s="6"/>
    </row>
    <row r="37" spans="1:16" x14ac:dyDescent="0.3">
      <c r="A37" s="6">
        <v>35</v>
      </c>
      <c r="B37" s="2" t="s">
        <v>111</v>
      </c>
      <c r="C37" s="2" t="s">
        <v>112</v>
      </c>
      <c r="D37" s="2" t="s">
        <v>113</v>
      </c>
      <c r="E37" s="7">
        <v>46137</v>
      </c>
      <c r="F37" s="2" t="s">
        <v>81</v>
      </c>
      <c r="G37" s="2" t="s">
        <v>82</v>
      </c>
      <c r="H37" s="2" t="s">
        <v>34</v>
      </c>
      <c r="I37" s="2" t="s">
        <v>114</v>
      </c>
      <c r="J37" s="2">
        <v>7</v>
      </c>
      <c r="K37" s="8">
        <v>171.43</v>
      </c>
      <c r="L37" s="8">
        <f t="shared" si="0"/>
        <v>1200.01</v>
      </c>
      <c r="M37" s="9">
        <v>0.05</v>
      </c>
      <c r="N37" s="8">
        <f t="shared" si="1"/>
        <v>60.000500000000002</v>
      </c>
      <c r="O37" s="8">
        <f t="shared" si="2"/>
        <v>1260.0105000000001</v>
      </c>
      <c r="P37" s="6"/>
    </row>
    <row r="38" spans="1:16" x14ac:dyDescent="0.3">
      <c r="A38" s="6">
        <v>36</v>
      </c>
      <c r="B38" s="2" t="s">
        <v>111</v>
      </c>
      <c r="C38" s="2" t="s">
        <v>112</v>
      </c>
      <c r="D38" s="2" t="s">
        <v>113</v>
      </c>
      <c r="E38" s="7">
        <v>46137</v>
      </c>
      <c r="F38" s="2" t="s">
        <v>81</v>
      </c>
      <c r="G38" s="2" t="s">
        <v>82</v>
      </c>
      <c r="H38" s="2" t="s">
        <v>35</v>
      </c>
      <c r="I38" s="2" t="s">
        <v>114</v>
      </c>
      <c r="J38" s="2">
        <v>1</v>
      </c>
      <c r="K38" s="8">
        <v>285.70999999999998</v>
      </c>
      <c r="L38" s="8">
        <f t="shared" si="0"/>
        <v>285.70999999999998</v>
      </c>
      <c r="M38" s="9">
        <v>0.05</v>
      </c>
      <c r="N38" s="8">
        <f t="shared" si="1"/>
        <v>14.285499999999999</v>
      </c>
      <c r="O38" s="8">
        <f t="shared" si="2"/>
        <v>299.99549999999999</v>
      </c>
      <c r="P38" s="6"/>
    </row>
    <row r="39" spans="1:16" x14ac:dyDescent="0.3">
      <c r="A39" s="6">
        <v>37</v>
      </c>
      <c r="B39" s="2" t="s">
        <v>111</v>
      </c>
      <c r="C39" s="2" t="s">
        <v>112</v>
      </c>
      <c r="D39" s="2" t="s">
        <v>113</v>
      </c>
      <c r="E39" s="7">
        <v>46137</v>
      </c>
      <c r="F39" s="2" t="s">
        <v>81</v>
      </c>
      <c r="G39" s="2" t="s">
        <v>82</v>
      </c>
      <c r="H39" s="2" t="s">
        <v>36</v>
      </c>
      <c r="I39" s="2" t="s">
        <v>114</v>
      </c>
      <c r="J39" s="2">
        <v>1</v>
      </c>
      <c r="K39" s="8">
        <v>385.71</v>
      </c>
      <c r="L39" s="8">
        <f t="shared" si="0"/>
        <v>385.71</v>
      </c>
      <c r="M39" s="9">
        <v>0.05</v>
      </c>
      <c r="N39" s="8">
        <f t="shared" si="1"/>
        <v>19.285499999999999</v>
      </c>
      <c r="O39" s="8">
        <f t="shared" si="2"/>
        <v>404.99549999999999</v>
      </c>
      <c r="P39" s="6"/>
    </row>
    <row r="40" spans="1:16" x14ac:dyDescent="0.3">
      <c r="A40" s="6">
        <v>38</v>
      </c>
      <c r="B40" s="2" t="s">
        <v>111</v>
      </c>
      <c r="C40" s="2" t="s">
        <v>112</v>
      </c>
      <c r="D40" s="2" t="s">
        <v>113</v>
      </c>
      <c r="E40" s="7">
        <v>46137</v>
      </c>
      <c r="F40" s="2" t="s">
        <v>81</v>
      </c>
      <c r="G40" s="2" t="s">
        <v>82</v>
      </c>
      <c r="H40" s="2" t="s">
        <v>37</v>
      </c>
      <c r="I40" s="2" t="s">
        <v>114</v>
      </c>
      <c r="J40" s="2">
        <v>2</v>
      </c>
      <c r="K40" s="8">
        <v>361.91</v>
      </c>
      <c r="L40" s="8">
        <f t="shared" si="0"/>
        <v>723.82</v>
      </c>
      <c r="M40" s="9">
        <v>0.05</v>
      </c>
      <c r="N40" s="8">
        <f t="shared" si="1"/>
        <v>36.191000000000003</v>
      </c>
      <c r="O40" s="8">
        <f t="shared" si="2"/>
        <v>760.01100000000008</v>
      </c>
      <c r="P40" s="6"/>
    </row>
    <row r="41" spans="1:16" x14ac:dyDescent="0.3">
      <c r="A41" s="6">
        <v>39</v>
      </c>
      <c r="B41" s="2" t="s">
        <v>111</v>
      </c>
      <c r="C41" s="2" t="s">
        <v>112</v>
      </c>
      <c r="D41" s="2" t="s">
        <v>113</v>
      </c>
      <c r="E41" s="7">
        <v>46137</v>
      </c>
      <c r="F41" s="2" t="s">
        <v>81</v>
      </c>
      <c r="G41" s="2" t="s">
        <v>82</v>
      </c>
      <c r="H41" s="2" t="s">
        <v>38</v>
      </c>
      <c r="I41" s="2" t="s">
        <v>114</v>
      </c>
      <c r="J41" s="2">
        <v>2</v>
      </c>
      <c r="K41" s="8">
        <v>461.91</v>
      </c>
      <c r="L41" s="8">
        <f t="shared" si="0"/>
        <v>923.82</v>
      </c>
      <c r="M41" s="9">
        <v>0.05</v>
      </c>
      <c r="N41" s="8">
        <f t="shared" si="1"/>
        <v>46.191000000000003</v>
      </c>
      <c r="O41" s="8">
        <f t="shared" si="2"/>
        <v>970.01100000000008</v>
      </c>
      <c r="P41" s="6"/>
    </row>
    <row r="42" spans="1:16" x14ac:dyDescent="0.3">
      <c r="A42" s="6">
        <v>40</v>
      </c>
      <c r="B42" s="2" t="s">
        <v>111</v>
      </c>
      <c r="C42" s="2" t="s">
        <v>112</v>
      </c>
      <c r="D42" s="2" t="s">
        <v>113</v>
      </c>
      <c r="E42" s="7">
        <v>46137</v>
      </c>
      <c r="F42" s="2" t="s">
        <v>81</v>
      </c>
      <c r="G42" s="2" t="s">
        <v>82</v>
      </c>
      <c r="H42" s="2" t="s">
        <v>39</v>
      </c>
      <c r="I42" s="2" t="s">
        <v>114</v>
      </c>
      <c r="J42" s="2">
        <v>1</v>
      </c>
      <c r="K42" s="8">
        <v>90.48</v>
      </c>
      <c r="L42" s="8">
        <f t="shared" si="0"/>
        <v>90.48</v>
      </c>
      <c r="M42" s="9">
        <v>0.05</v>
      </c>
      <c r="N42" s="8">
        <f t="shared" si="1"/>
        <v>4.524</v>
      </c>
      <c r="O42" s="8">
        <f t="shared" si="2"/>
        <v>95.004000000000005</v>
      </c>
      <c r="P42" s="6"/>
    </row>
    <row r="43" spans="1:16" x14ac:dyDescent="0.3">
      <c r="A43" s="6">
        <v>41</v>
      </c>
      <c r="B43" s="2" t="s">
        <v>111</v>
      </c>
      <c r="C43" s="2" t="s">
        <v>112</v>
      </c>
      <c r="D43" s="2" t="s">
        <v>113</v>
      </c>
      <c r="E43" s="7">
        <v>46137</v>
      </c>
      <c r="F43" s="2" t="s">
        <v>81</v>
      </c>
      <c r="G43" s="2" t="s">
        <v>82</v>
      </c>
      <c r="H43" s="2" t="s">
        <v>40</v>
      </c>
      <c r="I43" s="2" t="s">
        <v>114</v>
      </c>
      <c r="J43" s="2">
        <v>3</v>
      </c>
      <c r="K43" s="8">
        <v>119.05</v>
      </c>
      <c r="L43" s="8">
        <f t="shared" si="0"/>
        <v>357.15</v>
      </c>
      <c r="M43" s="9">
        <v>0.05</v>
      </c>
      <c r="N43" s="8">
        <f t="shared" si="1"/>
        <v>17.857499999999998</v>
      </c>
      <c r="O43" s="8">
        <f t="shared" si="2"/>
        <v>375.00749999999999</v>
      </c>
      <c r="P43" s="6"/>
    </row>
    <row r="44" spans="1:16" x14ac:dyDescent="0.3">
      <c r="A44" s="6">
        <v>42</v>
      </c>
      <c r="B44" s="2" t="s">
        <v>111</v>
      </c>
      <c r="C44" s="2" t="s">
        <v>112</v>
      </c>
      <c r="D44" s="2" t="s">
        <v>113</v>
      </c>
      <c r="E44" s="7">
        <v>46137</v>
      </c>
      <c r="F44" s="2" t="s">
        <v>81</v>
      </c>
      <c r="G44" s="2" t="s">
        <v>82</v>
      </c>
      <c r="H44" s="2" t="s">
        <v>41</v>
      </c>
      <c r="I44" s="2" t="s">
        <v>114</v>
      </c>
      <c r="J44" s="2">
        <v>12</v>
      </c>
      <c r="K44" s="8">
        <v>68</v>
      </c>
      <c r="L44" s="8">
        <f t="shared" si="0"/>
        <v>816</v>
      </c>
      <c r="M44" s="9">
        <v>0</v>
      </c>
      <c r="N44" s="8">
        <f t="shared" si="1"/>
        <v>0</v>
      </c>
      <c r="O44" s="8">
        <f t="shared" si="2"/>
        <v>816</v>
      </c>
      <c r="P44" s="6"/>
    </row>
    <row r="45" spans="1:16" x14ac:dyDescent="0.3">
      <c r="A45" s="6">
        <v>43</v>
      </c>
      <c r="B45" s="2" t="s">
        <v>111</v>
      </c>
      <c r="C45" s="2" t="s">
        <v>112</v>
      </c>
      <c r="D45" s="2" t="s">
        <v>113</v>
      </c>
      <c r="E45" s="7">
        <v>46137</v>
      </c>
      <c r="F45" s="2" t="s">
        <v>81</v>
      </c>
      <c r="G45" s="2" t="s">
        <v>82</v>
      </c>
      <c r="H45" s="2" t="s">
        <v>42</v>
      </c>
      <c r="I45" s="2" t="s">
        <v>114</v>
      </c>
      <c r="J45" s="2">
        <v>1</v>
      </c>
      <c r="K45" s="8">
        <v>338.1</v>
      </c>
      <c r="L45" s="8">
        <f t="shared" si="0"/>
        <v>338.1</v>
      </c>
      <c r="M45" s="9">
        <v>0.05</v>
      </c>
      <c r="N45" s="8">
        <f t="shared" si="1"/>
        <v>16.905000000000001</v>
      </c>
      <c r="O45" s="8">
        <f t="shared" si="2"/>
        <v>355.005</v>
      </c>
      <c r="P45" s="6"/>
    </row>
    <row r="46" spans="1:16" x14ac:dyDescent="0.3">
      <c r="A46" s="6">
        <v>44</v>
      </c>
      <c r="B46" s="2" t="s">
        <v>111</v>
      </c>
      <c r="C46" s="2" t="s">
        <v>112</v>
      </c>
      <c r="D46" s="2" t="s">
        <v>113</v>
      </c>
      <c r="E46" s="7">
        <v>46137</v>
      </c>
      <c r="F46" s="2" t="s">
        <v>81</v>
      </c>
      <c r="G46" s="2" t="s">
        <v>82</v>
      </c>
      <c r="H46" s="2" t="s">
        <v>43</v>
      </c>
      <c r="I46" s="2" t="s">
        <v>114</v>
      </c>
      <c r="J46" s="2">
        <v>1</v>
      </c>
      <c r="K46" s="8">
        <v>214.29</v>
      </c>
      <c r="L46" s="8">
        <f t="shared" si="0"/>
        <v>214.29</v>
      </c>
      <c r="M46" s="9">
        <v>0.05</v>
      </c>
      <c r="N46" s="8">
        <f t="shared" si="1"/>
        <v>10.714500000000001</v>
      </c>
      <c r="O46" s="8">
        <f t="shared" si="2"/>
        <v>225.00450000000001</v>
      </c>
      <c r="P46" s="6"/>
    </row>
    <row r="47" spans="1:16" x14ac:dyDescent="0.3">
      <c r="A47" s="6">
        <v>45</v>
      </c>
      <c r="B47" s="2" t="s">
        <v>115</v>
      </c>
      <c r="C47" s="2" t="s">
        <v>116</v>
      </c>
      <c r="D47" s="2">
        <v>576</v>
      </c>
      <c r="E47" s="7">
        <v>46137</v>
      </c>
      <c r="F47" s="2" t="s">
        <v>81</v>
      </c>
      <c r="G47" s="2" t="s">
        <v>82</v>
      </c>
      <c r="H47" s="2" t="s">
        <v>44</v>
      </c>
      <c r="I47" s="2" t="s">
        <v>114</v>
      </c>
      <c r="J47" s="2">
        <v>2</v>
      </c>
      <c r="K47" s="8">
        <v>280</v>
      </c>
      <c r="L47" s="8">
        <f t="shared" si="0"/>
        <v>560</v>
      </c>
      <c r="M47" s="9">
        <v>0.05</v>
      </c>
      <c r="N47" s="8">
        <f t="shared" si="1"/>
        <v>28</v>
      </c>
      <c r="O47" s="8">
        <f t="shared" si="2"/>
        <v>588</v>
      </c>
      <c r="P47" s="6"/>
    </row>
    <row r="48" spans="1:16" x14ac:dyDescent="0.3">
      <c r="A48" s="6">
        <v>46</v>
      </c>
      <c r="B48" s="2" t="s">
        <v>115</v>
      </c>
      <c r="C48" s="2" t="s">
        <v>116</v>
      </c>
      <c r="D48" s="2">
        <v>576</v>
      </c>
      <c r="E48" s="7">
        <v>46137</v>
      </c>
      <c r="F48" s="2" t="s">
        <v>81</v>
      </c>
      <c r="G48" s="2" t="s">
        <v>82</v>
      </c>
      <c r="H48" s="2" t="s">
        <v>45</v>
      </c>
      <c r="I48" s="2" t="s">
        <v>114</v>
      </c>
      <c r="J48" s="2">
        <v>1</v>
      </c>
      <c r="K48" s="8">
        <v>306.67</v>
      </c>
      <c r="L48" s="8">
        <f t="shared" si="0"/>
        <v>306.67</v>
      </c>
      <c r="M48" s="9">
        <v>0.05</v>
      </c>
      <c r="N48" s="8">
        <f t="shared" si="1"/>
        <v>15.333500000000001</v>
      </c>
      <c r="O48" s="8">
        <f t="shared" si="2"/>
        <v>322.00350000000003</v>
      </c>
      <c r="P48" s="6"/>
    </row>
    <row r="49" spans="1:16" x14ac:dyDescent="0.3">
      <c r="A49" s="6">
        <v>47</v>
      </c>
      <c r="B49" s="2" t="s">
        <v>117</v>
      </c>
      <c r="C49" s="2" t="s">
        <v>118</v>
      </c>
      <c r="D49" s="2" t="s">
        <v>119</v>
      </c>
      <c r="E49" s="7">
        <v>46137</v>
      </c>
      <c r="F49" s="2" t="s">
        <v>81</v>
      </c>
      <c r="G49" s="2" t="s">
        <v>82</v>
      </c>
      <c r="H49" s="2" t="s">
        <v>46</v>
      </c>
      <c r="I49" s="2" t="s">
        <v>120</v>
      </c>
      <c r="J49" s="10" t="s">
        <v>121</v>
      </c>
      <c r="K49" s="8">
        <v>63.7</v>
      </c>
      <c r="L49" s="8">
        <v>63.7</v>
      </c>
      <c r="M49" s="9">
        <v>0</v>
      </c>
      <c r="N49" s="8">
        <f t="shared" si="1"/>
        <v>0</v>
      </c>
      <c r="O49" s="8">
        <f t="shared" si="2"/>
        <v>63.7</v>
      </c>
      <c r="P49" s="6"/>
    </row>
    <row r="50" spans="1:16" x14ac:dyDescent="0.3">
      <c r="A50" s="6">
        <v>48</v>
      </c>
      <c r="B50" s="2" t="s">
        <v>117</v>
      </c>
      <c r="C50" s="2" t="s">
        <v>118</v>
      </c>
      <c r="D50" s="2" t="s">
        <v>119</v>
      </c>
      <c r="E50" s="7">
        <v>46137</v>
      </c>
      <c r="F50" s="2" t="s">
        <v>81</v>
      </c>
      <c r="G50" s="2" t="s">
        <v>82</v>
      </c>
      <c r="H50" s="2" t="s">
        <v>47</v>
      </c>
      <c r="I50" s="2" t="s">
        <v>122</v>
      </c>
      <c r="J50" s="10" t="s">
        <v>123</v>
      </c>
      <c r="K50" s="8">
        <v>22.2</v>
      </c>
      <c r="L50" s="8">
        <v>22.2</v>
      </c>
      <c r="M50" s="9">
        <v>0</v>
      </c>
      <c r="N50" s="8">
        <f t="shared" si="1"/>
        <v>0</v>
      </c>
      <c r="O50" s="8">
        <f t="shared" si="2"/>
        <v>22.2</v>
      </c>
      <c r="P50" s="6"/>
    </row>
    <row r="51" spans="1:16" x14ac:dyDescent="0.3">
      <c r="A51" s="6">
        <v>49</v>
      </c>
      <c r="B51" s="2" t="s">
        <v>117</v>
      </c>
      <c r="C51" s="2" t="s">
        <v>118</v>
      </c>
      <c r="D51" s="2" t="s">
        <v>119</v>
      </c>
      <c r="E51" s="7">
        <v>46137</v>
      </c>
      <c r="F51" s="2" t="s">
        <v>81</v>
      </c>
      <c r="G51" s="2" t="s">
        <v>82</v>
      </c>
      <c r="H51" s="2" t="s">
        <v>48</v>
      </c>
      <c r="I51" s="2" t="s">
        <v>107</v>
      </c>
      <c r="J51" s="2">
        <v>2</v>
      </c>
      <c r="K51" s="8">
        <v>15</v>
      </c>
      <c r="L51" s="8">
        <f t="shared" si="0"/>
        <v>30</v>
      </c>
      <c r="M51" s="9">
        <v>0</v>
      </c>
      <c r="N51" s="8">
        <f t="shared" si="1"/>
        <v>0</v>
      </c>
      <c r="O51" s="8">
        <f t="shared" si="2"/>
        <v>30</v>
      </c>
      <c r="P51" s="6"/>
    </row>
    <row r="52" spans="1:16" x14ac:dyDescent="0.3">
      <c r="A52" s="6">
        <v>50</v>
      </c>
      <c r="B52" s="2" t="s">
        <v>117</v>
      </c>
      <c r="C52" s="2" t="s">
        <v>118</v>
      </c>
      <c r="D52" s="2" t="s">
        <v>119</v>
      </c>
      <c r="E52" s="7">
        <v>46137</v>
      </c>
      <c r="F52" s="2" t="s">
        <v>81</v>
      </c>
      <c r="G52" s="2" t="s">
        <v>82</v>
      </c>
      <c r="H52" s="2" t="s">
        <v>49</v>
      </c>
      <c r="I52" s="2" t="s">
        <v>124</v>
      </c>
      <c r="J52" s="2">
        <v>1</v>
      </c>
      <c r="K52" s="8">
        <v>220</v>
      </c>
      <c r="L52" s="8">
        <f t="shared" si="0"/>
        <v>220</v>
      </c>
      <c r="M52" s="9">
        <v>0</v>
      </c>
      <c r="N52" s="8">
        <f t="shared" si="1"/>
        <v>0</v>
      </c>
      <c r="O52" s="8">
        <f t="shared" si="2"/>
        <v>220</v>
      </c>
      <c r="P52" s="6"/>
    </row>
    <row r="53" spans="1:16" x14ac:dyDescent="0.3">
      <c r="A53" s="6">
        <v>51</v>
      </c>
      <c r="B53" s="2" t="s">
        <v>117</v>
      </c>
      <c r="C53" s="2" t="s">
        <v>118</v>
      </c>
      <c r="D53" s="2" t="s">
        <v>119</v>
      </c>
      <c r="E53" s="7">
        <v>46137</v>
      </c>
      <c r="F53" s="2" t="s">
        <v>81</v>
      </c>
      <c r="G53" s="2" t="s">
        <v>82</v>
      </c>
      <c r="H53" s="2" t="s">
        <v>50</v>
      </c>
      <c r="I53" s="2" t="s">
        <v>124</v>
      </c>
      <c r="J53" s="2">
        <v>2</v>
      </c>
      <c r="K53" s="8">
        <v>184</v>
      </c>
      <c r="L53" s="8">
        <f t="shared" si="0"/>
        <v>368</v>
      </c>
      <c r="M53" s="9">
        <v>0</v>
      </c>
      <c r="N53" s="8">
        <f t="shared" si="1"/>
        <v>0</v>
      </c>
      <c r="O53" s="8">
        <f t="shared" si="2"/>
        <v>368</v>
      </c>
      <c r="P53" s="6"/>
    </row>
    <row r="54" spans="1:16" x14ac:dyDescent="0.3">
      <c r="A54" s="6">
        <v>52</v>
      </c>
      <c r="B54" s="2" t="s">
        <v>117</v>
      </c>
      <c r="C54" s="2" t="s">
        <v>118</v>
      </c>
      <c r="D54" s="2" t="s">
        <v>119</v>
      </c>
      <c r="E54" s="7">
        <v>46137</v>
      </c>
      <c r="F54" s="2" t="s">
        <v>81</v>
      </c>
      <c r="G54" s="2" t="s">
        <v>82</v>
      </c>
      <c r="H54" s="2" t="s">
        <v>51</v>
      </c>
      <c r="I54" s="2" t="s">
        <v>114</v>
      </c>
      <c r="J54" s="2">
        <v>1</v>
      </c>
      <c r="K54" s="8">
        <v>70</v>
      </c>
      <c r="L54" s="8">
        <f t="shared" si="0"/>
        <v>70</v>
      </c>
      <c r="M54" s="9">
        <v>0</v>
      </c>
      <c r="N54" s="8">
        <f t="shared" si="1"/>
        <v>0</v>
      </c>
      <c r="O54" s="8">
        <f t="shared" si="2"/>
        <v>70</v>
      </c>
      <c r="P54" s="6"/>
    </row>
    <row r="55" spans="1:16" x14ac:dyDescent="0.3">
      <c r="A55" s="6">
        <v>53</v>
      </c>
      <c r="B55" s="2" t="s">
        <v>117</v>
      </c>
      <c r="C55" s="2" t="s">
        <v>118</v>
      </c>
      <c r="D55" s="2" t="s">
        <v>119</v>
      </c>
      <c r="E55" s="7">
        <v>46137</v>
      </c>
      <c r="F55" s="2" t="s">
        <v>81</v>
      </c>
      <c r="G55" s="2" t="s">
        <v>82</v>
      </c>
      <c r="H55" s="2" t="s">
        <v>52</v>
      </c>
      <c r="I55" s="2" t="s">
        <v>107</v>
      </c>
      <c r="J55" s="2">
        <v>2</v>
      </c>
      <c r="K55" s="8">
        <v>6</v>
      </c>
      <c r="L55" s="8">
        <f t="shared" si="0"/>
        <v>12</v>
      </c>
      <c r="M55" s="9">
        <v>0</v>
      </c>
      <c r="N55" s="8">
        <f t="shared" si="1"/>
        <v>0</v>
      </c>
      <c r="O55" s="8">
        <f t="shared" si="2"/>
        <v>12</v>
      </c>
      <c r="P55" s="6"/>
    </row>
    <row r="56" spans="1:16" x14ac:dyDescent="0.3">
      <c r="A56" s="6">
        <v>54</v>
      </c>
      <c r="B56" s="2" t="s">
        <v>117</v>
      </c>
      <c r="C56" s="2" t="s">
        <v>118</v>
      </c>
      <c r="D56" s="2" t="s">
        <v>119</v>
      </c>
      <c r="E56" s="7">
        <v>46137</v>
      </c>
      <c r="F56" s="2" t="s">
        <v>81</v>
      </c>
      <c r="G56" s="2" t="s">
        <v>82</v>
      </c>
      <c r="H56" s="2" t="s">
        <v>53</v>
      </c>
      <c r="I56" s="2" t="s">
        <v>124</v>
      </c>
      <c r="J56" s="2">
        <v>3</v>
      </c>
      <c r="K56" s="8">
        <v>28</v>
      </c>
      <c r="L56" s="8">
        <f t="shared" si="0"/>
        <v>84</v>
      </c>
      <c r="M56" s="9">
        <v>0</v>
      </c>
      <c r="N56" s="8">
        <f t="shared" si="1"/>
        <v>0</v>
      </c>
      <c r="O56" s="8">
        <f t="shared" si="2"/>
        <v>84</v>
      </c>
      <c r="P56" s="6"/>
    </row>
    <row r="57" spans="1:16" x14ac:dyDescent="0.3">
      <c r="A57" s="6">
        <v>55</v>
      </c>
      <c r="B57" s="2" t="s">
        <v>117</v>
      </c>
      <c r="C57" s="2" t="s">
        <v>118</v>
      </c>
      <c r="D57" s="2" t="s">
        <v>119</v>
      </c>
      <c r="E57" s="7">
        <v>46137</v>
      </c>
      <c r="F57" s="2" t="s">
        <v>81</v>
      </c>
      <c r="G57" s="2" t="s">
        <v>82</v>
      </c>
      <c r="H57" s="2" t="s">
        <v>54</v>
      </c>
      <c r="I57" s="2" t="s">
        <v>124</v>
      </c>
      <c r="J57" s="2">
        <v>3</v>
      </c>
      <c r="K57" s="8">
        <v>44</v>
      </c>
      <c r="L57" s="8">
        <f t="shared" si="0"/>
        <v>132</v>
      </c>
      <c r="M57" s="9">
        <v>0</v>
      </c>
      <c r="N57" s="8">
        <f t="shared" si="1"/>
        <v>0</v>
      </c>
      <c r="O57" s="8">
        <f t="shared" si="2"/>
        <v>132</v>
      </c>
      <c r="P57" s="6"/>
    </row>
    <row r="58" spans="1:16" x14ac:dyDescent="0.3">
      <c r="A58" s="6">
        <v>56</v>
      </c>
      <c r="B58" s="2" t="s">
        <v>125</v>
      </c>
      <c r="C58" s="2" t="s">
        <v>126</v>
      </c>
      <c r="D58" s="2" t="s">
        <v>127</v>
      </c>
      <c r="E58" s="7">
        <v>46140</v>
      </c>
      <c r="F58" s="2" t="s">
        <v>81</v>
      </c>
      <c r="G58" s="2" t="s">
        <v>82</v>
      </c>
      <c r="H58" s="2" t="s">
        <v>55</v>
      </c>
      <c r="I58" s="2" t="s">
        <v>128</v>
      </c>
      <c r="J58" s="2">
        <v>2</v>
      </c>
      <c r="K58" s="8">
        <v>855</v>
      </c>
      <c r="L58" s="8">
        <f t="shared" si="0"/>
        <v>1710</v>
      </c>
      <c r="M58" s="9">
        <v>0</v>
      </c>
      <c r="N58" s="8">
        <f t="shared" si="1"/>
        <v>0</v>
      </c>
      <c r="O58" s="8">
        <f t="shared" si="2"/>
        <v>1710</v>
      </c>
      <c r="P58" s="6"/>
    </row>
    <row r="59" spans="1:16" x14ac:dyDescent="0.3">
      <c r="A59" s="6">
        <v>57</v>
      </c>
      <c r="B59" s="2" t="s">
        <v>125</v>
      </c>
      <c r="C59" s="2" t="s">
        <v>126</v>
      </c>
      <c r="D59" s="2" t="s">
        <v>127</v>
      </c>
      <c r="E59" s="7">
        <v>46140</v>
      </c>
      <c r="F59" s="2" t="s">
        <v>81</v>
      </c>
      <c r="G59" s="2" t="s">
        <v>82</v>
      </c>
      <c r="H59" s="2" t="s">
        <v>56</v>
      </c>
      <c r="I59" s="2" t="s">
        <v>129</v>
      </c>
      <c r="J59" s="2">
        <v>3</v>
      </c>
      <c r="K59" s="8">
        <v>72</v>
      </c>
      <c r="L59" s="8">
        <f t="shared" si="0"/>
        <v>216</v>
      </c>
      <c r="M59" s="9">
        <v>0</v>
      </c>
      <c r="N59" s="8">
        <f t="shared" si="1"/>
        <v>0</v>
      </c>
      <c r="O59" s="8">
        <f t="shared" si="2"/>
        <v>216</v>
      </c>
      <c r="P59" s="6"/>
    </row>
    <row r="60" spans="1:16" x14ac:dyDescent="0.3">
      <c r="A60" s="6">
        <v>58</v>
      </c>
      <c r="B60" s="2" t="s">
        <v>125</v>
      </c>
      <c r="C60" s="2" t="s">
        <v>126</v>
      </c>
      <c r="D60" s="2" t="s">
        <v>127</v>
      </c>
      <c r="E60" s="7">
        <v>46140</v>
      </c>
      <c r="F60" s="2" t="s">
        <v>81</v>
      </c>
      <c r="G60" s="2" t="s">
        <v>82</v>
      </c>
      <c r="H60" s="2" t="s">
        <v>57</v>
      </c>
      <c r="I60" s="2" t="s">
        <v>130</v>
      </c>
      <c r="J60" s="2">
        <v>5</v>
      </c>
      <c r="K60" s="8">
        <v>41</v>
      </c>
      <c r="L60" s="8">
        <f t="shared" si="0"/>
        <v>205</v>
      </c>
      <c r="M60" s="9">
        <v>0</v>
      </c>
      <c r="N60" s="8">
        <f t="shared" si="1"/>
        <v>0</v>
      </c>
      <c r="O60" s="8">
        <f t="shared" si="2"/>
        <v>205</v>
      </c>
      <c r="P60" s="6"/>
    </row>
    <row r="61" spans="1:16" x14ac:dyDescent="0.3">
      <c r="A61" s="6">
        <v>59</v>
      </c>
      <c r="B61" s="2" t="s">
        <v>100</v>
      </c>
      <c r="C61" s="2">
        <v>9840038381</v>
      </c>
      <c r="D61" s="2"/>
      <c r="E61" s="7"/>
      <c r="F61" s="2" t="s">
        <v>81</v>
      </c>
      <c r="G61" s="2" t="s">
        <v>82</v>
      </c>
      <c r="H61" s="2" t="s">
        <v>58</v>
      </c>
      <c r="I61" s="2" t="s">
        <v>131</v>
      </c>
      <c r="J61" s="2">
        <v>3</v>
      </c>
      <c r="K61" s="8">
        <v>315</v>
      </c>
      <c r="L61" s="8">
        <f t="shared" si="0"/>
        <v>945</v>
      </c>
      <c r="M61" s="9">
        <v>0</v>
      </c>
      <c r="N61" s="8">
        <f t="shared" si="1"/>
        <v>0</v>
      </c>
      <c r="O61" s="8">
        <f t="shared" si="2"/>
        <v>945</v>
      </c>
      <c r="P61" s="6" t="s">
        <v>132</v>
      </c>
    </row>
    <row r="62" spans="1:16" x14ac:dyDescent="0.3">
      <c r="A62" s="6">
        <v>60</v>
      </c>
      <c r="B62" s="2" t="s">
        <v>100</v>
      </c>
      <c r="C62" s="2">
        <v>9840038381</v>
      </c>
      <c r="D62" s="2"/>
      <c r="E62" s="7"/>
      <c r="F62" s="2" t="s">
        <v>81</v>
      </c>
      <c r="G62" s="2" t="s">
        <v>82</v>
      </c>
      <c r="H62" s="2" t="s">
        <v>59</v>
      </c>
      <c r="I62" s="2" t="s">
        <v>133</v>
      </c>
      <c r="J62" s="2">
        <v>5</v>
      </c>
      <c r="K62" s="8">
        <v>315</v>
      </c>
      <c r="L62" s="8">
        <f t="shared" si="0"/>
        <v>1575</v>
      </c>
      <c r="M62" s="9">
        <v>0</v>
      </c>
      <c r="N62" s="8">
        <f t="shared" si="1"/>
        <v>0</v>
      </c>
      <c r="O62" s="8">
        <f t="shared" si="2"/>
        <v>1575</v>
      </c>
      <c r="P62" s="6" t="s">
        <v>132</v>
      </c>
    </row>
    <row r="63" spans="1:16" x14ac:dyDescent="0.3">
      <c r="A63" s="6">
        <v>61</v>
      </c>
      <c r="B63" s="2" t="s">
        <v>100</v>
      </c>
      <c r="C63" s="2">
        <v>9840038381</v>
      </c>
      <c r="D63" s="2"/>
      <c r="E63" s="7"/>
      <c r="F63" s="2" t="s">
        <v>81</v>
      </c>
      <c r="G63" s="2" t="s">
        <v>82</v>
      </c>
      <c r="H63" s="2" t="s">
        <v>20</v>
      </c>
      <c r="I63" s="2" t="s">
        <v>134</v>
      </c>
      <c r="J63" s="2">
        <v>2</v>
      </c>
      <c r="K63" s="8">
        <v>315</v>
      </c>
      <c r="L63" s="8">
        <f t="shared" si="0"/>
        <v>630</v>
      </c>
      <c r="M63" s="9">
        <v>0</v>
      </c>
      <c r="N63" s="8">
        <f t="shared" si="1"/>
        <v>0</v>
      </c>
      <c r="O63" s="8">
        <f t="shared" si="2"/>
        <v>630</v>
      </c>
      <c r="P63" s="6" t="s">
        <v>132</v>
      </c>
    </row>
    <row r="64" spans="1:16" x14ac:dyDescent="0.3">
      <c r="A64" s="6">
        <v>62</v>
      </c>
      <c r="B64" s="2" t="s">
        <v>100</v>
      </c>
      <c r="C64" s="2">
        <v>9840038381</v>
      </c>
      <c r="D64" s="2"/>
      <c r="E64" s="7"/>
      <c r="F64" s="2" t="s">
        <v>81</v>
      </c>
      <c r="G64" s="2" t="s">
        <v>82</v>
      </c>
      <c r="H64" s="2" t="s">
        <v>60</v>
      </c>
      <c r="I64" s="2"/>
      <c r="J64" s="2">
        <v>1</v>
      </c>
      <c r="K64" s="8">
        <v>200</v>
      </c>
      <c r="L64" s="8">
        <f t="shared" si="0"/>
        <v>200</v>
      </c>
      <c r="M64" s="9">
        <v>0</v>
      </c>
      <c r="N64" s="8">
        <f t="shared" si="1"/>
        <v>0</v>
      </c>
      <c r="O64" s="8">
        <f t="shared" si="2"/>
        <v>200</v>
      </c>
      <c r="P64" s="6" t="s">
        <v>132</v>
      </c>
    </row>
    <row r="65" spans="1:16" x14ac:dyDescent="0.3">
      <c r="A65" s="6">
        <v>72</v>
      </c>
      <c r="B65" s="2" t="s">
        <v>100</v>
      </c>
      <c r="C65" s="2">
        <v>9840038381</v>
      </c>
      <c r="D65" s="2"/>
      <c r="E65" s="7">
        <v>46142</v>
      </c>
      <c r="F65" s="2" t="s">
        <v>81</v>
      </c>
      <c r="G65" s="2" t="s">
        <v>82</v>
      </c>
      <c r="H65" s="2" t="s">
        <v>58</v>
      </c>
      <c r="I65" s="2" t="s">
        <v>135</v>
      </c>
      <c r="J65" s="2">
        <v>7</v>
      </c>
      <c r="K65" s="8">
        <v>325</v>
      </c>
      <c r="L65" s="8">
        <f t="shared" si="0"/>
        <v>2275</v>
      </c>
      <c r="M65" s="9">
        <v>0</v>
      </c>
      <c r="N65" s="8">
        <f t="shared" si="1"/>
        <v>0</v>
      </c>
      <c r="O65" s="8">
        <f t="shared" si="2"/>
        <v>2275</v>
      </c>
      <c r="P65" s="6"/>
    </row>
    <row r="66" spans="1:16" x14ac:dyDescent="0.3">
      <c r="A66" s="6">
        <v>73</v>
      </c>
      <c r="B66" s="2" t="s">
        <v>100</v>
      </c>
      <c r="C66" s="2">
        <v>9840038381</v>
      </c>
      <c r="D66" s="2"/>
      <c r="E66" s="7">
        <v>46142</v>
      </c>
      <c r="F66" s="2" t="s">
        <v>81</v>
      </c>
      <c r="G66" s="2" t="s">
        <v>82</v>
      </c>
      <c r="H66" s="2" t="s">
        <v>59</v>
      </c>
      <c r="I66" s="2" t="s">
        <v>133</v>
      </c>
      <c r="J66" s="2">
        <v>5</v>
      </c>
      <c r="K66" s="8">
        <v>325</v>
      </c>
      <c r="L66" s="8">
        <f t="shared" si="0"/>
        <v>1625</v>
      </c>
      <c r="M66" s="9">
        <v>0</v>
      </c>
      <c r="N66" s="8">
        <f t="shared" si="1"/>
        <v>0</v>
      </c>
      <c r="O66" s="8">
        <f t="shared" si="2"/>
        <v>1625</v>
      </c>
      <c r="P66" s="6"/>
    </row>
    <row r="67" spans="1:16" x14ac:dyDescent="0.3">
      <c r="A67" s="6">
        <v>74</v>
      </c>
      <c r="B67" s="2" t="s">
        <v>100</v>
      </c>
      <c r="C67" s="2">
        <v>9840038381</v>
      </c>
      <c r="D67" s="2"/>
      <c r="E67" s="7">
        <v>46142</v>
      </c>
      <c r="F67" s="2" t="s">
        <v>81</v>
      </c>
      <c r="G67" s="2" t="s">
        <v>82</v>
      </c>
      <c r="H67" s="2" t="s">
        <v>20</v>
      </c>
      <c r="I67" s="2" t="s">
        <v>131</v>
      </c>
      <c r="J67" s="2">
        <v>3</v>
      </c>
      <c r="K67" s="8">
        <v>325</v>
      </c>
      <c r="L67" s="8">
        <f t="shared" ref="L67:L70" si="3">K67*J67</f>
        <v>975</v>
      </c>
      <c r="M67" s="9">
        <v>0</v>
      </c>
      <c r="N67" s="8">
        <f t="shared" ref="N67:N70" si="4">M67*L67</f>
        <v>0</v>
      </c>
      <c r="O67" s="8">
        <f t="shared" ref="O67:O70" si="5">N67+L67</f>
        <v>975</v>
      </c>
      <c r="P67" s="6"/>
    </row>
    <row r="68" spans="1:16" x14ac:dyDescent="0.3">
      <c r="A68" s="6">
        <v>75</v>
      </c>
      <c r="B68" s="2" t="s">
        <v>100</v>
      </c>
      <c r="C68" s="2">
        <v>9840038381</v>
      </c>
      <c r="D68" s="2"/>
      <c r="E68" s="7">
        <v>46142</v>
      </c>
      <c r="F68" s="2" t="s">
        <v>81</v>
      </c>
      <c r="G68" s="2" t="s">
        <v>82</v>
      </c>
      <c r="H68" s="2" t="s">
        <v>60</v>
      </c>
      <c r="I68" s="2"/>
      <c r="J68" s="2">
        <v>1</v>
      </c>
      <c r="K68" s="8">
        <v>170</v>
      </c>
      <c r="L68" s="8">
        <f t="shared" si="3"/>
        <v>170</v>
      </c>
      <c r="M68" s="9">
        <v>0</v>
      </c>
      <c r="N68" s="8">
        <f t="shared" si="4"/>
        <v>0</v>
      </c>
      <c r="O68" s="8">
        <f t="shared" si="5"/>
        <v>170</v>
      </c>
      <c r="P68" s="6"/>
    </row>
    <row r="69" spans="1:16" x14ac:dyDescent="0.3">
      <c r="A69" s="6">
        <v>76</v>
      </c>
      <c r="B69" s="2" t="s">
        <v>102</v>
      </c>
      <c r="C69" s="2" t="s">
        <v>103</v>
      </c>
      <c r="D69" s="2"/>
      <c r="E69" s="7">
        <v>46145</v>
      </c>
      <c r="F69" s="2" t="s">
        <v>81</v>
      </c>
      <c r="G69" s="2" t="s">
        <v>136</v>
      </c>
      <c r="H69" s="2" t="s">
        <v>23</v>
      </c>
      <c r="I69" s="2" t="s">
        <v>104</v>
      </c>
      <c r="J69" s="2">
        <v>52</v>
      </c>
      <c r="K69" s="8">
        <v>25</v>
      </c>
      <c r="L69" s="8">
        <f t="shared" si="3"/>
        <v>1300</v>
      </c>
      <c r="M69" s="9">
        <v>0</v>
      </c>
      <c r="N69" s="8">
        <f t="shared" si="4"/>
        <v>0</v>
      </c>
      <c r="O69" s="8">
        <f t="shared" si="5"/>
        <v>1300</v>
      </c>
      <c r="P69" s="6"/>
    </row>
    <row r="70" spans="1:16" ht="25.8" x14ac:dyDescent="0.5">
      <c r="A70" s="11" t="s">
        <v>137</v>
      </c>
      <c r="B70" s="11"/>
      <c r="C70" s="11"/>
      <c r="D70" s="11"/>
      <c r="E70" s="11"/>
      <c r="F70" s="11"/>
      <c r="G70" s="11"/>
      <c r="H70" s="11"/>
      <c r="I70" s="11"/>
      <c r="J70" s="11"/>
      <c r="K70" s="12"/>
      <c r="L70" s="11"/>
      <c r="M70" s="11"/>
      <c r="N70" s="12"/>
      <c r="O70" s="13">
        <f>SUBTOTAL(109,O3:O69)</f>
        <v>41322.888999999996</v>
      </c>
      <c r="P70" s="6"/>
    </row>
    <row r="71" spans="1:16" x14ac:dyDescent="0.3">
      <c r="A71" s="2" t="s">
        <v>61</v>
      </c>
    </row>
    <row r="72" spans="1:16" x14ac:dyDescent="0.3">
      <c r="A72" s="2" t="s">
        <v>62</v>
      </c>
    </row>
    <row r="73" spans="1:16" x14ac:dyDescent="0.3">
      <c r="A73" s="2" t="s">
        <v>58</v>
      </c>
    </row>
    <row r="74" spans="1:16" x14ac:dyDescent="0.3">
      <c r="A74" s="2" t="s">
        <v>59</v>
      </c>
    </row>
    <row r="75" spans="1:16" x14ac:dyDescent="0.3">
      <c r="A75" s="2" t="s">
        <v>20</v>
      </c>
    </row>
    <row r="76" spans="1:16" x14ac:dyDescent="0.3">
      <c r="A76" s="2" t="s">
        <v>60</v>
      </c>
    </row>
    <row r="77" spans="1:16" x14ac:dyDescent="0.3">
      <c r="A77" s="2" t="s">
        <v>23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prakash</dc:creator>
  <cp:lastModifiedBy>john prakash</cp:lastModifiedBy>
  <dcterms:created xsi:type="dcterms:W3CDTF">2026-05-05T08:12:05Z</dcterms:created>
  <dcterms:modified xsi:type="dcterms:W3CDTF">2026-05-06T05:47:42Z</dcterms:modified>
</cp:coreProperties>
</file>