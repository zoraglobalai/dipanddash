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ip &amp; Dash 147 Snookers\2026\Inventory\April-26\"/>
    </mc:Choice>
  </mc:AlternateContent>
  <xr:revisionPtr revIDLastSave="0" documentId="13_ncr:1_{EEC721C6-32AE-4C1E-86B8-3CB0E169A44B}" xr6:coauthVersionLast="47" xr6:coauthVersionMax="47" xr10:uidLastSave="{00000000-0000-0000-0000-000000000000}"/>
  <bookViews>
    <workbookView xWindow="-120" yWindow="-120" windowWidth="20730" windowHeight="11040" tabRatio="592" activeTab="1" xr2:uid="{00000000-000D-0000-FFFF-FFFF00000000}"/>
  </bookViews>
  <sheets>
    <sheet name="Dip&amp;dash" sheetId="7" r:id="rId1"/>
    <sheet name="147 soonkers stock details" sheetId="1" r:id="rId2"/>
    <sheet name="147 soonkersDaily Stock details" sheetId="8" r:id="rId3"/>
    <sheet name="Sheet1" sheetId="9" r:id="rId4"/>
  </sheets>
  <definedNames>
    <definedName name="_xlnm._FilterDatabase" localSheetId="1" hidden="1">'147 soonkers stock details'!$A$8:$CE$65</definedName>
    <definedName name="_xlnm._FilterDatabase" localSheetId="2" hidden="1">'147 soonkersDaily Stock details'!$A$3:$AF$4</definedName>
    <definedName name="_xlnm._FilterDatabase" localSheetId="0" hidden="1">'Dip&amp;dash'!$BS$4:$BU$4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2" i="1" l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32" i="1"/>
  <c r="AE27" i="1"/>
  <c r="AE25" i="1"/>
  <c r="AE23" i="1"/>
  <c r="AE22" i="1"/>
  <c r="AE20" i="1"/>
  <c r="AE19" i="1"/>
  <c r="AE18" i="1"/>
  <c r="AE14" i="1"/>
  <c r="AE11" i="1"/>
  <c r="AE9" i="1"/>
  <c r="BV63" i="1"/>
  <c r="BV62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N45" i="8"/>
  <c r="M45" i="8" l="1"/>
  <c r="Z44" i="1"/>
  <c r="Z31" i="1"/>
  <c r="Z32" i="1"/>
  <c r="Z19" i="1"/>
  <c r="L45" i="8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T35" i="7"/>
  <c r="BT36" i="7"/>
  <c r="BT37" i="7"/>
  <c r="BT38" i="7"/>
  <c r="BT39" i="7"/>
  <c r="BT40" i="7"/>
  <c r="BT41" i="7"/>
  <c r="BT42" i="7"/>
  <c r="BT43" i="7"/>
  <c r="BT44" i="7"/>
  <c r="BT45" i="7"/>
  <c r="BT46" i="7"/>
  <c r="BT47" i="7"/>
  <c r="BT48" i="7"/>
  <c r="BT49" i="7"/>
  <c r="BT50" i="7"/>
  <c r="BT51" i="7"/>
  <c r="BT52" i="7"/>
  <c r="BT53" i="7"/>
  <c r="BT54" i="7"/>
  <c r="BT55" i="7"/>
  <c r="BT56" i="7"/>
  <c r="BT57" i="7"/>
  <c r="BT58" i="7"/>
  <c r="BT59" i="7"/>
  <c r="BT60" i="7"/>
  <c r="BT5" i="7"/>
  <c r="K45" i="8"/>
  <c r="J45" i="8"/>
  <c r="V31" i="1"/>
  <c r="V32" i="1"/>
  <c r="V26" i="1"/>
  <c r="T26" i="1"/>
  <c r="T32" i="1"/>
  <c r="D65" i="1"/>
  <c r="R32" i="1"/>
  <c r="R31" i="1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C3" i="8"/>
  <c r="L31" i="1"/>
  <c r="L32" i="1"/>
  <c r="P27" i="1"/>
  <c r="P26" i="1"/>
  <c r="BQ37" i="1"/>
  <c r="CA37" i="1" s="1"/>
  <c r="CB37" i="1" s="1"/>
  <c r="N36" i="1"/>
  <c r="N32" i="1"/>
  <c r="N18" i="1"/>
  <c r="N35" i="1"/>
  <c r="N20" i="1"/>
  <c r="N19" i="1"/>
  <c r="N11" i="1"/>
  <c r="L35" i="1"/>
  <c r="L22" i="1"/>
  <c r="L26" i="1"/>
  <c r="L28" i="1"/>
  <c r="L19" i="1"/>
  <c r="L9" i="1"/>
  <c r="L20" i="1"/>
  <c r="BO59" i="7"/>
  <c r="BN58" i="7"/>
  <c r="BO55" i="7"/>
  <c r="BN50" i="7"/>
  <c r="BO47" i="7"/>
  <c r="BN44" i="7"/>
  <c r="BO44" i="7"/>
  <c r="BN42" i="7"/>
  <c r="BN39" i="7"/>
  <c r="BO39" i="7"/>
  <c r="BO36" i="7"/>
  <c r="BN34" i="7"/>
  <c r="BN31" i="7"/>
  <c r="BO28" i="7"/>
  <c r="BN26" i="7"/>
  <c r="BN23" i="7"/>
  <c r="BO23" i="7"/>
  <c r="BO15" i="7"/>
  <c r="BO12" i="7"/>
  <c r="BN10" i="7"/>
  <c r="BO7" i="7"/>
  <c r="BS6" i="7"/>
  <c r="BS7" i="7" s="1"/>
  <c r="BS8" i="7" s="1"/>
  <c r="BS9" i="7" s="1"/>
  <c r="BS10" i="7" s="1"/>
  <c r="BS11" i="7" s="1"/>
  <c r="BS12" i="7" s="1"/>
  <c r="BS13" i="7" s="1"/>
  <c r="BS14" i="7" s="1"/>
  <c r="BS15" i="7" s="1"/>
  <c r="BS16" i="7" s="1"/>
  <c r="BS17" i="7" s="1"/>
  <c r="BS18" i="7" s="1"/>
  <c r="BS19" i="7" s="1"/>
  <c r="BS20" i="7" s="1"/>
  <c r="BS21" i="7" s="1"/>
  <c r="BS22" i="7" s="1"/>
  <c r="BS23" i="7" s="1"/>
  <c r="BS24" i="7" s="1"/>
  <c r="BS25" i="7" s="1"/>
  <c r="BS26" i="7" s="1"/>
  <c r="BS27" i="7" s="1"/>
  <c r="BS28" i="7" s="1"/>
  <c r="BS29" i="7" s="1"/>
  <c r="BS30" i="7" s="1"/>
  <c r="BS31" i="7" s="1"/>
  <c r="BS32" i="7" s="1"/>
  <c r="BS33" i="7" s="1"/>
  <c r="BS34" i="7" s="1"/>
  <c r="BS35" i="7" s="1"/>
  <c r="BS36" i="7" s="1"/>
  <c r="BS37" i="7" s="1"/>
  <c r="BS38" i="7" s="1"/>
  <c r="BS39" i="7" s="1"/>
  <c r="BS40" i="7" s="1"/>
  <c r="BS41" i="7" s="1"/>
  <c r="BS42" i="7" s="1"/>
  <c r="BS43" i="7" s="1"/>
  <c r="BS44" i="7" s="1"/>
  <c r="BS45" i="7" s="1"/>
  <c r="BS46" i="7" s="1"/>
  <c r="BS47" i="7" s="1"/>
  <c r="BS48" i="7" s="1"/>
  <c r="BS49" i="7" s="1"/>
  <c r="BS50" i="7" s="1"/>
  <c r="BS51" i="7" s="1"/>
  <c r="BS52" i="7" s="1"/>
  <c r="BS53" i="7" s="1"/>
  <c r="BS54" i="7" s="1"/>
  <c r="BS55" i="7" s="1"/>
  <c r="BS56" i="7" s="1"/>
  <c r="BS57" i="7" s="1"/>
  <c r="BS58" i="7" s="1"/>
  <c r="BS59" i="7" s="1"/>
  <c r="BS60" i="7" s="1"/>
  <c r="BL2" i="7"/>
  <c r="BJ2" i="7"/>
  <c r="BH2" i="7"/>
  <c r="BF2" i="7"/>
  <c r="BD2" i="7"/>
  <c r="BB2" i="7"/>
  <c r="AZ2" i="7"/>
  <c r="AX2" i="7"/>
  <c r="AV2" i="7"/>
  <c r="AT2" i="7"/>
  <c r="AR2" i="7"/>
  <c r="AP2" i="7"/>
  <c r="AN2" i="7"/>
  <c r="AL2" i="7"/>
  <c r="AJ2" i="7"/>
  <c r="AH2" i="7"/>
  <c r="AF2" i="7"/>
  <c r="AD2" i="7"/>
  <c r="AB2" i="7"/>
  <c r="Z2" i="7"/>
  <c r="X2" i="7"/>
  <c r="V2" i="7"/>
  <c r="T2" i="7"/>
  <c r="R2" i="7"/>
  <c r="P2" i="7"/>
  <c r="N2" i="7"/>
  <c r="L2" i="7"/>
  <c r="J2" i="7"/>
  <c r="H2" i="7"/>
  <c r="F2" i="7"/>
  <c r="D2" i="7"/>
  <c r="BP39" i="7" l="1"/>
  <c r="BU39" i="7" s="1"/>
  <c r="BP44" i="7"/>
  <c r="BU44" i="7" s="1"/>
  <c r="BO26" i="7"/>
  <c r="BO46" i="7"/>
  <c r="BO54" i="7"/>
  <c r="BO58" i="7"/>
  <c r="BP58" i="7" s="1"/>
  <c r="BU58" i="7" s="1"/>
  <c r="BN9" i="7"/>
  <c r="BN13" i="7"/>
  <c r="BP13" i="7" s="1"/>
  <c r="BU13" i="7" s="1"/>
  <c r="BN17" i="7"/>
  <c r="BN21" i="7"/>
  <c r="BN25" i="7"/>
  <c r="BN29" i="7"/>
  <c r="BN33" i="7"/>
  <c r="BN37" i="7"/>
  <c r="BN41" i="7"/>
  <c r="BN45" i="7"/>
  <c r="BN49" i="7"/>
  <c r="BN53" i="7"/>
  <c r="BN57" i="7"/>
  <c r="BO45" i="7"/>
  <c r="BO48" i="7"/>
  <c r="BO53" i="7"/>
  <c r="BO56" i="7"/>
  <c r="BO57" i="7"/>
  <c r="BO6" i="7"/>
  <c r="BN18" i="7"/>
  <c r="BO10" i="7"/>
  <c r="BO34" i="7"/>
  <c r="BO38" i="7"/>
  <c r="BO42" i="7"/>
  <c r="BP42" i="7" s="1"/>
  <c r="BU42" i="7" s="1"/>
  <c r="BN5" i="7"/>
  <c r="BP5" i="7" s="1"/>
  <c r="BU5" i="7" s="1"/>
  <c r="BO32" i="7"/>
  <c r="BN8" i="7"/>
  <c r="BN11" i="7"/>
  <c r="BN16" i="7"/>
  <c r="BN19" i="7"/>
  <c r="BN24" i="7"/>
  <c r="BN27" i="7"/>
  <c r="BN32" i="7"/>
  <c r="BN35" i="7"/>
  <c r="BN40" i="7"/>
  <c r="BN43" i="7"/>
  <c r="BN48" i="7"/>
  <c r="BP48" i="7" s="1"/>
  <c r="BU48" i="7" s="1"/>
  <c r="BN51" i="7"/>
  <c r="BN56" i="7"/>
  <c r="BN59" i="7"/>
  <c r="BP59" i="7" s="1"/>
  <c r="BU59" i="7" s="1"/>
  <c r="BN60" i="7"/>
  <c r="BO31" i="7"/>
  <c r="BP31" i="7" s="1"/>
  <c r="BU31" i="7" s="1"/>
  <c r="BO5" i="7"/>
  <c r="BN15" i="7"/>
  <c r="BP15" i="7" s="1"/>
  <c r="BU15" i="7" s="1"/>
  <c r="BO14" i="7"/>
  <c r="BO22" i="7"/>
  <c r="BO30" i="7"/>
  <c r="BO50" i="7"/>
  <c r="BP50" i="7" s="1"/>
  <c r="BU50" i="7" s="1"/>
  <c r="BO8" i="7"/>
  <c r="BO21" i="7"/>
  <c r="BO24" i="7"/>
  <c r="BN6" i="7"/>
  <c r="BO17" i="7"/>
  <c r="BO19" i="7"/>
  <c r="BO25" i="7"/>
  <c r="BO27" i="7"/>
  <c r="BO33" i="7"/>
  <c r="BO35" i="7"/>
  <c r="BO41" i="7"/>
  <c r="BO43" i="7"/>
  <c r="BO49" i="7"/>
  <c r="BO51" i="7"/>
  <c r="BO52" i="7"/>
  <c r="BO60" i="7"/>
  <c r="BO20" i="7"/>
  <c r="BN7" i="7"/>
  <c r="BP7" i="7" s="1"/>
  <c r="BU7" i="7" s="1"/>
  <c r="BO18" i="7"/>
  <c r="BO13" i="7"/>
  <c r="BO16" i="7"/>
  <c r="BO29" i="7"/>
  <c r="BO37" i="7"/>
  <c r="BO40" i="7"/>
  <c r="BO9" i="7"/>
  <c r="BO11" i="7"/>
  <c r="BN12" i="7"/>
  <c r="BP12" i="7" s="1"/>
  <c r="BU12" i="7" s="1"/>
  <c r="BN14" i="7"/>
  <c r="BN20" i="7"/>
  <c r="BN22" i="7"/>
  <c r="BP22" i="7" s="1"/>
  <c r="BU22" i="7" s="1"/>
  <c r="BN28" i="7"/>
  <c r="BP28" i="7" s="1"/>
  <c r="BU28" i="7" s="1"/>
  <c r="BN30" i="7"/>
  <c r="BP30" i="7" s="1"/>
  <c r="BU30" i="7" s="1"/>
  <c r="BN36" i="7"/>
  <c r="BP36" i="7" s="1"/>
  <c r="BU36" i="7" s="1"/>
  <c r="BN38" i="7"/>
  <c r="BP38" i="7" s="1"/>
  <c r="BU38" i="7" s="1"/>
  <c r="BN46" i="7"/>
  <c r="BN47" i="7"/>
  <c r="BP47" i="7" s="1"/>
  <c r="BU47" i="7" s="1"/>
  <c r="BN52" i="7"/>
  <c r="BN54" i="7"/>
  <c r="BP54" i="7" s="1"/>
  <c r="BU54" i="7" s="1"/>
  <c r="BN55" i="7"/>
  <c r="BP55" i="7" s="1"/>
  <c r="BU55" i="7" s="1"/>
  <c r="BP14" i="7"/>
  <c r="BU14" i="7" s="1"/>
  <c r="BP10" i="7"/>
  <c r="BU10" i="7" s="1"/>
  <c r="BP18" i="7"/>
  <c r="BU18" i="7" s="1"/>
  <c r="BP23" i="7"/>
  <c r="BU23" i="7" s="1"/>
  <c r="BP26" i="7"/>
  <c r="BU26" i="7" s="1"/>
  <c r="BP34" i="7"/>
  <c r="BU34" i="7" s="1"/>
  <c r="BP35" i="7" l="1"/>
  <c r="BU35" i="7" s="1"/>
  <c r="BP45" i="7"/>
  <c r="BU45" i="7" s="1"/>
  <c r="BP41" i="7"/>
  <c r="BU41" i="7" s="1"/>
  <c r="BP24" i="7"/>
  <c r="BU24" i="7" s="1"/>
  <c r="BP51" i="7"/>
  <c r="BU51" i="7" s="1"/>
  <c r="BP29" i="7"/>
  <c r="BU29" i="7" s="1"/>
  <c r="BP19" i="7"/>
  <c r="BU19" i="7" s="1"/>
  <c r="BP6" i="7"/>
  <c r="BU6" i="7" s="1"/>
  <c r="BP27" i="7"/>
  <c r="BU27" i="7" s="1"/>
  <c r="BP37" i="7"/>
  <c r="BU37" i="7" s="1"/>
  <c r="BP56" i="7"/>
  <c r="BU56" i="7" s="1"/>
  <c r="BP33" i="7"/>
  <c r="BU33" i="7" s="1"/>
  <c r="BP52" i="7"/>
  <c r="BU52" i="7" s="1"/>
  <c r="BP32" i="7"/>
  <c r="BU32" i="7" s="1"/>
  <c r="BP9" i="7"/>
  <c r="BU9" i="7" s="1"/>
  <c r="BP20" i="7"/>
  <c r="BU20" i="7" s="1"/>
  <c r="BP16" i="7"/>
  <c r="BU16" i="7" s="1"/>
  <c r="BP57" i="7"/>
  <c r="BU57" i="7" s="1"/>
  <c r="BP25" i="7"/>
  <c r="BU25" i="7" s="1"/>
  <c r="BP43" i="7"/>
  <c r="BU43" i="7" s="1"/>
  <c r="BP11" i="7"/>
  <c r="BU11" i="7" s="1"/>
  <c r="BP53" i="7"/>
  <c r="BU53" i="7" s="1"/>
  <c r="BP21" i="7"/>
  <c r="BU21" i="7" s="1"/>
  <c r="BP60" i="7"/>
  <c r="BU60" i="7" s="1"/>
  <c r="BP46" i="7"/>
  <c r="BU46" i="7" s="1"/>
  <c r="BP40" i="7"/>
  <c r="BU40" i="7" s="1"/>
  <c r="BP8" i="7"/>
  <c r="BU8" i="7" s="1"/>
  <c r="BP49" i="7"/>
  <c r="BU49" i="7" s="1"/>
  <c r="BP17" i="7"/>
  <c r="BU17" i="7" s="1"/>
  <c r="BU10" i="1"/>
  <c r="BU11" i="1" s="1"/>
  <c r="BU12" i="1" s="1"/>
  <c r="BU13" i="1" s="1"/>
  <c r="BU14" i="1" s="1"/>
  <c r="BU15" i="1" s="1"/>
  <c r="BU16" i="1" s="1"/>
  <c r="BU17" i="1" s="1"/>
  <c r="BU18" i="1" s="1"/>
  <c r="BU19" i="1" s="1"/>
  <c r="BU20" i="1" s="1"/>
  <c r="BU21" i="1" s="1"/>
  <c r="BU22" i="1" s="1"/>
  <c r="BU23" i="1" s="1"/>
  <c r="BU24" i="1" s="1"/>
  <c r="BU25" i="1" s="1"/>
  <c r="BU26" i="1" s="1"/>
  <c r="BU27" i="1" s="1"/>
  <c r="BU28" i="1" s="1"/>
  <c r="BU29" i="1" s="1"/>
  <c r="BU30" i="1" s="1"/>
  <c r="BU31" i="1" s="1"/>
  <c r="BU32" i="1" s="1"/>
  <c r="BU33" i="1" s="1"/>
  <c r="BU34" i="1" s="1"/>
  <c r="BU35" i="1" s="1"/>
  <c r="BU36" i="1" s="1"/>
  <c r="BU37" i="1" s="1"/>
  <c r="BU38" i="1" s="1"/>
  <c r="BU39" i="1" s="1"/>
  <c r="BU40" i="1" s="1"/>
  <c r="BU41" i="1" s="1"/>
  <c r="BU42" i="1" s="1"/>
  <c r="BU43" i="1" s="1"/>
  <c r="BU44" i="1" s="1"/>
  <c r="BU45" i="1" s="1"/>
  <c r="BU46" i="1" s="1"/>
  <c r="BU47" i="1" s="1"/>
  <c r="BU48" i="1" s="1"/>
  <c r="BU49" i="1" s="1"/>
  <c r="BU50" i="1" s="1"/>
  <c r="BU51" i="1" s="1"/>
  <c r="BU52" i="1" s="1"/>
  <c r="BU53" i="1" s="1"/>
  <c r="BU54" i="1" s="1"/>
  <c r="BU55" i="1" s="1"/>
  <c r="BU56" i="1" s="1"/>
  <c r="BU57" i="1" s="1"/>
  <c r="BU58" i="1" s="1"/>
  <c r="BU59" i="1" s="1"/>
  <c r="BU60" i="1" s="1"/>
  <c r="BU61" i="1" s="1"/>
  <c r="BU62" i="1" s="1"/>
  <c r="BU63" i="1" s="1"/>
  <c r="E6" i="1" l="1"/>
  <c r="G6" i="1" l="1"/>
  <c r="I6" i="1" l="1"/>
  <c r="K6" i="1" l="1"/>
  <c r="M6" i="1" l="1"/>
  <c r="O6" i="1"/>
  <c r="Q6" i="1" l="1"/>
  <c r="S6" i="1" l="1"/>
  <c r="U6" i="1" l="1"/>
  <c r="W6" i="1" l="1"/>
  <c r="Y6" i="1" l="1"/>
  <c r="AA6" i="1" l="1"/>
  <c r="AC6" i="1" l="1"/>
  <c r="AF6" i="1" l="1"/>
  <c r="AH6" i="1" l="1"/>
  <c r="AJ6" i="1" l="1"/>
  <c r="AL6" i="1" l="1"/>
  <c r="AN6" i="1" l="1"/>
  <c r="AP6" i="1" l="1"/>
  <c r="AR6" i="1" l="1"/>
  <c r="AT6" i="1" l="1"/>
  <c r="AV6" i="1" l="1"/>
  <c r="AX6" i="1" l="1"/>
  <c r="AZ6" i="1" l="1"/>
  <c r="BB6" i="1" l="1"/>
  <c r="BD6" i="1" l="1"/>
  <c r="BF6" i="1" l="1"/>
  <c r="BH6" i="1" l="1"/>
  <c r="BJ6" i="1" l="1"/>
  <c r="BL6" i="1" l="1"/>
  <c r="BP64" i="1" l="1"/>
  <c r="BP60" i="1"/>
  <c r="BX60" i="1" s="1"/>
  <c r="BY60" i="1" s="1"/>
  <c r="BP56" i="1"/>
  <c r="BX56" i="1" s="1"/>
  <c r="BY56" i="1" s="1"/>
  <c r="BP52" i="1"/>
  <c r="BX52" i="1" s="1"/>
  <c r="BY52" i="1" s="1"/>
  <c r="BP48" i="1"/>
  <c r="BX48" i="1" s="1"/>
  <c r="BY48" i="1" s="1"/>
  <c r="BP44" i="1"/>
  <c r="BX44" i="1" s="1"/>
  <c r="BY44" i="1" s="1"/>
  <c r="BP40" i="1"/>
  <c r="BX40" i="1" s="1"/>
  <c r="BY40" i="1" s="1"/>
  <c r="BP36" i="1"/>
  <c r="BX36" i="1" s="1"/>
  <c r="BY36" i="1" s="1"/>
  <c r="BP32" i="1"/>
  <c r="BX32" i="1" s="1"/>
  <c r="BY32" i="1" s="1"/>
  <c r="BP28" i="1"/>
  <c r="BX28" i="1" s="1"/>
  <c r="BY28" i="1" s="1"/>
  <c r="BP24" i="1"/>
  <c r="BX24" i="1" s="1"/>
  <c r="BY24" i="1" s="1"/>
  <c r="BP20" i="1"/>
  <c r="BX20" i="1" s="1"/>
  <c r="BY20" i="1" s="1"/>
  <c r="BP16" i="1"/>
  <c r="BX16" i="1" s="1"/>
  <c r="BY16" i="1" s="1"/>
  <c r="BP12" i="1"/>
  <c r="BX12" i="1" s="1"/>
  <c r="BY12" i="1" s="1"/>
  <c r="BP63" i="1"/>
  <c r="BX63" i="1" s="1"/>
  <c r="BY63" i="1" s="1"/>
  <c r="BP59" i="1"/>
  <c r="BX59" i="1" s="1"/>
  <c r="BY59" i="1" s="1"/>
  <c r="BP55" i="1"/>
  <c r="BX55" i="1" s="1"/>
  <c r="BY55" i="1" s="1"/>
  <c r="BP51" i="1"/>
  <c r="BX51" i="1" s="1"/>
  <c r="BY51" i="1" s="1"/>
  <c r="BP47" i="1"/>
  <c r="BX47" i="1" s="1"/>
  <c r="BY47" i="1" s="1"/>
  <c r="BP43" i="1"/>
  <c r="BX43" i="1" s="1"/>
  <c r="BY43" i="1" s="1"/>
  <c r="BP39" i="1"/>
  <c r="BX39" i="1" s="1"/>
  <c r="BY39" i="1" s="1"/>
  <c r="BP35" i="1"/>
  <c r="BX35" i="1" s="1"/>
  <c r="BY35" i="1" s="1"/>
  <c r="BP31" i="1"/>
  <c r="BX31" i="1" s="1"/>
  <c r="BY31" i="1" s="1"/>
  <c r="BP27" i="1"/>
  <c r="BX27" i="1" s="1"/>
  <c r="BY27" i="1" s="1"/>
  <c r="BP23" i="1"/>
  <c r="BX23" i="1" s="1"/>
  <c r="BY23" i="1" s="1"/>
  <c r="BP19" i="1"/>
  <c r="BX19" i="1" s="1"/>
  <c r="BY19" i="1" s="1"/>
  <c r="BP15" i="1"/>
  <c r="BX15" i="1" s="1"/>
  <c r="BY15" i="1" s="1"/>
  <c r="BP11" i="1"/>
  <c r="BX11" i="1" s="1"/>
  <c r="BY11" i="1" s="1"/>
  <c r="BP62" i="1"/>
  <c r="BX62" i="1" s="1"/>
  <c r="BY62" i="1" s="1"/>
  <c r="BP58" i="1"/>
  <c r="BX58" i="1" s="1"/>
  <c r="BY58" i="1" s="1"/>
  <c r="BP54" i="1"/>
  <c r="BX54" i="1" s="1"/>
  <c r="BY54" i="1" s="1"/>
  <c r="BP50" i="1"/>
  <c r="BX50" i="1" s="1"/>
  <c r="BY50" i="1" s="1"/>
  <c r="BP46" i="1"/>
  <c r="BX46" i="1" s="1"/>
  <c r="BY46" i="1" s="1"/>
  <c r="BP42" i="1"/>
  <c r="BX42" i="1" s="1"/>
  <c r="BY42" i="1" s="1"/>
  <c r="BP38" i="1"/>
  <c r="BX38" i="1" s="1"/>
  <c r="BY38" i="1" s="1"/>
  <c r="BP34" i="1"/>
  <c r="BX34" i="1" s="1"/>
  <c r="BY34" i="1" s="1"/>
  <c r="BP30" i="1"/>
  <c r="BX30" i="1" s="1"/>
  <c r="BY30" i="1" s="1"/>
  <c r="BP26" i="1"/>
  <c r="BX26" i="1" s="1"/>
  <c r="BY26" i="1" s="1"/>
  <c r="BP22" i="1"/>
  <c r="BX22" i="1" s="1"/>
  <c r="BY22" i="1" s="1"/>
  <c r="BP18" i="1"/>
  <c r="BX18" i="1" s="1"/>
  <c r="BY18" i="1" s="1"/>
  <c r="BP14" i="1"/>
  <c r="BX14" i="1" s="1"/>
  <c r="BY14" i="1" s="1"/>
  <c r="BP10" i="1"/>
  <c r="BX10" i="1" s="1"/>
  <c r="BY10" i="1" s="1"/>
  <c r="BP61" i="1"/>
  <c r="BX61" i="1" s="1"/>
  <c r="BY61" i="1" s="1"/>
  <c r="BP57" i="1"/>
  <c r="BX57" i="1" s="1"/>
  <c r="BY57" i="1" s="1"/>
  <c r="BP53" i="1"/>
  <c r="BX53" i="1" s="1"/>
  <c r="BY53" i="1" s="1"/>
  <c r="BP49" i="1"/>
  <c r="BX49" i="1" s="1"/>
  <c r="BY49" i="1" s="1"/>
  <c r="BP45" i="1"/>
  <c r="BX45" i="1" s="1"/>
  <c r="BY45" i="1" s="1"/>
  <c r="BP41" i="1"/>
  <c r="BX41" i="1" s="1"/>
  <c r="BY41" i="1" s="1"/>
  <c r="BP37" i="1"/>
  <c r="BX37" i="1" s="1"/>
  <c r="BY37" i="1" s="1"/>
  <c r="BP33" i="1"/>
  <c r="BX33" i="1" s="1"/>
  <c r="BY33" i="1" s="1"/>
  <c r="BP29" i="1"/>
  <c r="BX29" i="1" s="1"/>
  <c r="BY29" i="1" s="1"/>
  <c r="BP25" i="1"/>
  <c r="BX25" i="1" s="1"/>
  <c r="BY25" i="1" s="1"/>
  <c r="BP21" i="1"/>
  <c r="BX21" i="1" s="1"/>
  <c r="BY21" i="1" s="1"/>
  <c r="BP17" i="1"/>
  <c r="BX17" i="1" s="1"/>
  <c r="BY17" i="1" s="1"/>
  <c r="BP13" i="1"/>
  <c r="BX13" i="1" s="1"/>
  <c r="BY13" i="1" s="1"/>
  <c r="BQ10" i="1"/>
  <c r="CA10" i="1" s="1"/>
  <c r="CB10" i="1" s="1"/>
  <c r="BQ12" i="1"/>
  <c r="CA12" i="1" s="1"/>
  <c r="CB12" i="1" s="1"/>
  <c r="BQ14" i="1"/>
  <c r="CA14" i="1" s="1"/>
  <c r="CB14" i="1" s="1"/>
  <c r="BQ16" i="1"/>
  <c r="CA16" i="1" s="1"/>
  <c r="CB16" i="1" s="1"/>
  <c r="BQ18" i="1"/>
  <c r="CA18" i="1" s="1"/>
  <c r="CB18" i="1" s="1"/>
  <c r="BQ20" i="1"/>
  <c r="CA20" i="1" s="1"/>
  <c r="CB20" i="1" s="1"/>
  <c r="BQ22" i="1"/>
  <c r="CA22" i="1" s="1"/>
  <c r="CB22" i="1" s="1"/>
  <c r="BQ24" i="1"/>
  <c r="CA24" i="1" s="1"/>
  <c r="CB24" i="1" s="1"/>
  <c r="BQ26" i="1"/>
  <c r="CA26" i="1" s="1"/>
  <c r="CB26" i="1" s="1"/>
  <c r="BQ28" i="1"/>
  <c r="CA28" i="1" s="1"/>
  <c r="CB28" i="1" s="1"/>
  <c r="BQ30" i="1"/>
  <c r="CA30" i="1" s="1"/>
  <c r="CB30" i="1" s="1"/>
  <c r="BQ32" i="1"/>
  <c r="CA32" i="1" s="1"/>
  <c r="CB32" i="1" s="1"/>
  <c r="BQ34" i="1"/>
  <c r="CA34" i="1" s="1"/>
  <c r="CB34" i="1" s="1"/>
  <c r="BQ36" i="1"/>
  <c r="CA36" i="1" s="1"/>
  <c r="CB36" i="1" s="1"/>
  <c r="BQ38" i="1"/>
  <c r="CA38" i="1" s="1"/>
  <c r="CB38" i="1" s="1"/>
  <c r="BQ40" i="1"/>
  <c r="CA40" i="1" s="1"/>
  <c r="CB40" i="1" s="1"/>
  <c r="BQ42" i="1"/>
  <c r="CA42" i="1" s="1"/>
  <c r="CB42" i="1" s="1"/>
  <c r="BQ44" i="1"/>
  <c r="CA44" i="1" s="1"/>
  <c r="CB44" i="1" s="1"/>
  <c r="BQ46" i="1"/>
  <c r="CA46" i="1" s="1"/>
  <c r="CB46" i="1" s="1"/>
  <c r="BQ48" i="1"/>
  <c r="CA48" i="1" s="1"/>
  <c r="CB48" i="1" s="1"/>
  <c r="BQ50" i="1"/>
  <c r="CA50" i="1" s="1"/>
  <c r="CB50" i="1" s="1"/>
  <c r="BQ52" i="1"/>
  <c r="CA52" i="1" s="1"/>
  <c r="CB52" i="1" s="1"/>
  <c r="BQ54" i="1"/>
  <c r="CA54" i="1" s="1"/>
  <c r="CB54" i="1" s="1"/>
  <c r="BQ56" i="1"/>
  <c r="CA56" i="1" s="1"/>
  <c r="CB56" i="1" s="1"/>
  <c r="BQ58" i="1"/>
  <c r="CA58" i="1" s="1"/>
  <c r="CB58" i="1" s="1"/>
  <c r="BQ60" i="1"/>
  <c r="CA60" i="1" s="1"/>
  <c r="CB60" i="1" s="1"/>
  <c r="BQ62" i="1"/>
  <c r="CA62" i="1" s="1"/>
  <c r="CB62" i="1" s="1"/>
  <c r="BQ64" i="1"/>
  <c r="BQ11" i="1"/>
  <c r="CA11" i="1" s="1"/>
  <c r="CB11" i="1" s="1"/>
  <c r="BQ13" i="1"/>
  <c r="CA13" i="1" s="1"/>
  <c r="CB13" i="1" s="1"/>
  <c r="BQ15" i="1"/>
  <c r="CA15" i="1" s="1"/>
  <c r="CB15" i="1" s="1"/>
  <c r="BQ17" i="1"/>
  <c r="CA17" i="1" s="1"/>
  <c r="CB17" i="1" s="1"/>
  <c r="BQ19" i="1"/>
  <c r="CA19" i="1" s="1"/>
  <c r="CB19" i="1" s="1"/>
  <c r="BQ21" i="1"/>
  <c r="CA21" i="1" s="1"/>
  <c r="CB21" i="1" s="1"/>
  <c r="BQ23" i="1"/>
  <c r="CA23" i="1" s="1"/>
  <c r="CB23" i="1" s="1"/>
  <c r="BQ25" i="1"/>
  <c r="CA25" i="1" s="1"/>
  <c r="CB25" i="1" s="1"/>
  <c r="BQ27" i="1"/>
  <c r="CA27" i="1" s="1"/>
  <c r="CB27" i="1" s="1"/>
  <c r="BQ29" i="1"/>
  <c r="CA29" i="1" s="1"/>
  <c r="CB29" i="1" s="1"/>
  <c r="BQ31" i="1"/>
  <c r="CA31" i="1" s="1"/>
  <c r="CB31" i="1" s="1"/>
  <c r="BQ33" i="1"/>
  <c r="CA33" i="1" s="1"/>
  <c r="CB33" i="1" s="1"/>
  <c r="BQ35" i="1"/>
  <c r="CA35" i="1" s="1"/>
  <c r="CB35" i="1" s="1"/>
  <c r="BQ39" i="1"/>
  <c r="CA39" i="1" s="1"/>
  <c r="CB39" i="1" s="1"/>
  <c r="BQ41" i="1"/>
  <c r="CA41" i="1" s="1"/>
  <c r="CB41" i="1" s="1"/>
  <c r="BQ43" i="1"/>
  <c r="CA43" i="1" s="1"/>
  <c r="CB43" i="1" s="1"/>
  <c r="BQ45" i="1"/>
  <c r="CA45" i="1" s="1"/>
  <c r="CB45" i="1" s="1"/>
  <c r="BQ47" i="1"/>
  <c r="CA47" i="1" s="1"/>
  <c r="CB47" i="1" s="1"/>
  <c r="BQ49" i="1"/>
  <c r="CA49" i="1" s="1"/>
  <c r="CB49" i="1" s="1"/>
  <c r="BQ51" i="1"/>
  <c r="CA51" i="1" s="1"/>
  <c r="CB51" i="1" s="1"/>
  <c r="BQ53" i="1"/>
  <c r="CA53" i="1" s="1"/>
  <c r="CB53" i="1" s="1"/>
  <c r="BQ55" i="1"/>
  <c r="CA55" i="1" s="1"/>
  <c r="CB55" i="1" s="1"/>
  <c r="BQ57" i="1"/>
  <c r="CA57" i="1" s="1"/>
  <c r="CB57" i="1" s="1"/>
  <c r="BQ59" i="1"/>
  <c r="CA59" i="1" s="1"/>
  <c r="CB59" i="1" s="1"/>
  <c r="BQ61" i="1"/>
  <c r="CA61" i="1" s="1"/>
  <c r="CB61" i="1" s="1"/>
  <c r="BQ63" i="1"/>
  <c r="CA63" i="1" s="1"/>
  <c r="CB63" i="1" s="1"/>
  <c r="BP9" i="1" l="1"/>
  <c r="BX9" i="1" s="1"/>
  <c r="BQ9" i="1"/>
  <c r="CA9" i="1" s="1"/>
  <c r="CB9" i="1" s="1"/>
  <c r="BR41" i="1"/>
  <c r="CC41" i="1" s="1"/>
  <c r="CD41" i="1" s="1"/>
  <c r="BR10" i="1"/>
  <c r="CC10" i="1" s="1"/>
  <c r="CD10" i="1" s="1"/>
  <c r="BR42" i="1"/>
  <c r="CC42" i="1" s="1"/>
  <c r="CD42" i="1" s="1"/>
  <c r="BR11" i="1"/>
  <c r="CC11" i="1" s="1"/>
  <c r="CD11" i="1" s="1"/>
  <c r="BR43" i="1"/>
  <c r="CC43" i="1" s="1"/>
  <c r="CD43" i="1" s="1"/>
  <c r="BR12" i="1"/>
  <c r="CC12" i="1" s="1"/>
  <c r="CD12" i="1" s="1"/>
  <c r="BR44" i="1"/>
  <c r="CC44" i="1" s="1"/>
  <c r="CD44" i="1" s="1"/>
  <c r="BR13" i="1"/>
  <c r="CC13" i="1" s="1"/>
  <c r="CD13" i="1" s="1"/>
  <c r="BR45" i="1"/>
  <c r="CC45" i="1" s="1"/>
  <c r="CD45" i="1" s="1"/>
  <c r="BR14" i="1"/>
  <c r="CC14" i="1" s="1"/>
  <c r="CD14" i="1" s="1"/>
  <c r="BR46" i="1"/>
  <c r="CC46" i="1" s="1"/>
  <c r="CD46" i="1" s="1"/>
  <c r="BR15" i="1"/>
  <c r="CC15" i="1" s="1"/>
  <c r="CD15" i="1" s="1"/>
  <c r="BR47" i="1"/>
  <c r="CC47" i="1" s="1"/>
  <c r="CD47" i="1" s="1"/>
  <c r="BR16" i="1"/>
  <c r="CC16" i="1" s="1"/>
  <c r="CD16" i="1" s="1"/>
  <c r="BR48" i="1"/>
  <c r="CC48" i="1" s="1"/>
  <c r="CD48" i="1" s="1"/>
  <c r="BR17" i="1"/>
  <c r="CC17" i="1" s="1"/>
  <c r="CD17" i="1" s="1"/>
  <c r="BR49" i="1"/>
  <c r="CC49" i="1" s="1"/>
  <c r="CD49" i="1" s="1"/>
  <c r="BR18" i="1"/>
  <c r="CC18" i="1" s="1"/>
  <c r="CD18" i="1" s="1"/>
  <c r="BR50" i="1"/>
  <c r="CC50" i="1" s="1"/>
  <c r="CD50" i="1" s="1"/>
  <c r="BR19" i="1"/>
  <c r="CC19" i="1" s="1"/>
  <c r="CD19" i="1" s="1"/>
  <c r="BR51" i="1"/>
  <c r="CC51" i="1" s="1"/>
  <c r="CD51" i="1" s="1"/>
  <c r="BR20" i="1"/>
  <c r="CC20" i="1" s="1"/>
  <c r="CD20" i="1" s="1"/>
  <c r="BR52" i="1"/>
  <c r="CC52" i="1" s="1"/>
  <c r="CD52" i="1" s="1"/>
  <c r="BR21" i="1"/>
  <c r="CC21" i="1" s="1"/>
  <c r="CD21" i="1" s="1"/>
  <c r="BR53" i="1"/>
  <c r="CC53" i="1" s="1"/>
  <c r="CD53" i="1" s="1"/>
  <c r="BR22" i="1"/>
  <c r="CC22" i="1" s="1"/>
  <c r="CD22" i="1" s="1"/>
  <c r="BR54" i="1"/>
  <c r="CC54" i="1" s="1"/>
  <c r="CD54" i="1" s="1"/>
  <c r="BR23" i="1"/>
  <c r="CC23" i="1" s="1"/>
  <c r="CD23" i="1" s="1"/>
  <c r="BR55" i="1"/>
  <c r="CC55" i="1" s="1"/>
  <c r="CD55" i="1" s="1"/>
  <c r="BR24" i="1"/>
  <c r="CC24" i="1" s="1"/>
  <c r="CD24" i="1" s="1"/>
  <c r="BR56" i="1"/>
  <c r="CC56" i="1" s="1"/>
  <c r="CD56" i="1" s="1"/>
  <c r="BR25" i="1"/>
  <c r="CC25" i="1" s="1"/>
  <c r="CD25" i="1" s="1"/>
  <c r="BR57" i="1"/>
  <c r="CC57" i="1" s="1"/>
  <c r="CD57" i="1" s="1"/>
  <c r="BR26" i="1"/>
  <c r="CC26" i="1" s="1"/>
  <c r="CD26" i="1" s="1"/>
  <c r="BR58" i="1"/>
  <c r="CC58" i="1" s="1"/>
  <c r="CD58" i="1" s="1"/>
  <c r="BR27" i="1"/>
  <c r="CC27" i="1" s="1"/>
  <c r="CD27" i="1" s="1"/>
  <c r="BR59" i="1"/>
  <c r="CC59" i="1" s="1"/>
  <c r="CD59" i="1" s="1"/>
  <c r="BR28" i="1"/>
  <c r="CC28" i="1" s="1"/>
  <c r="CD28" i="1" s="1"/>
  <c r="BR60" i="1"/>
  <c r="CC60" i="1" s="1"/>
  <c r="CD60" i="1" s="1"/>
  <c r="BR29" i="1"/>
  <c r="CC29" i="1" s="1"/>
  <c r="CD29" i="1" s="1"/>
  <c r="BR61" i="1"/>
  <c r="CC61" i="1" s="1"/>
  <c r="CD61" i="1" s="1"/>
  <c r="BR30" i="1"/>
  <c r="CC30" i="1" s="1"/>
  <c r="CD30" i="1" s="1"/>
  <c r="BR62" i="1"/>
  <c r="CC62" i="1" s="1"/>
  <c r="CD62" i="1" s="1"/>
  <c r="BR31" i="1"/>
  <c r="CC31" i="1" s="1"/>
  <c r="CD31" i="1" s="1"/>
  <c r="BR63" i="1"/>
  <c r="CC63" i="1" s="1"/>
  <c r="CD63" i="1" s="1"/>
  <c r="BR32" i="1"/>
  <c r="CC32" i="1" s="1"/>
  <c r="CD32" i="1" s="1"/>
  <c r="BR64" i="1"/>
  <c r="BR33" i="1"/>
  <c r="CC33" i="1" s="1"/>
  <c r="CD33" i="1" s="1"/>
  <c r="BR34" i="1"/>
  <c r="CC34" i="1" s="1"/>
  <c r="CD34" i="1" s="1"/>
  <c r="BR35" i="1"/>
  <c r="CC35" i="1" s="1"/>
  <c r="CD35" i="1" s="1"/>
  <c r="BR36" i="1"/>
  <c r="CC36" i="1" s="1"/>
  <c r="CD36" i="1" s="1"/>
  <c r="BR37" i="1"/>
  <c r="CC37" i="1" s="1"/>
  <c r="CD37" i="1" s="1"/>
  <c r="BR38" i="1"/>
  <c r="CC38" i="1" s="1"/>
  <c r="CD38" i="1" s="1"/>
  <c r="BR39" i="1"/>
  <c r="CC39" i="1" s="1"/>
  <c r="CD39" i="1" s="1"/>
  <c r="BR40" i="1"/>
  <c r="CC40" i="1" s="1"/>
  <c r="CD40" i="1" s="1"/>
  <c r="BY9" i="1" l="1"/>
  <c r="BX64" i="1"/>
  <c r="CA64" i="1"/>
  <c r="CB64" i="1"/>
  <c r="BR9" i="1"/>
  <c r="CC9" i="1" s="1"/>
  <c r="CD9" i="1" s="1"/>
  <c r="BN6" i="1"/>
  <c r="CC64" i="1" l="1"/>
  <c r="CD64" i="1"/>
</calcChain>
</file>

<file path=xl/sharedStrings.xml><?xml version="1.0" encoding="utf-8"?>
<sst xmlns="http://schemas.openxmlformats.org/spreadsheetml/2006/main" count="304" uniqueCount="87">
  <si>
    <t>CLOSING STOCK</t>
  </si>
  <si>
    <t xml:space="preserve"> Sno</t>
  </si>
  <si>
    <t>Closing Stock</t>
  </si>
  <si>
    <t>Daywise AudioFull Unit Closing Stock</t>
  </si>
  <si>
    <t>S.No</t>
  </si>
  <si>
    <t>April 2026 Opening  Stock</t>
  </si>
  <si>
    <t>Purchased</t>
  </si>
  <si>
    <t>Sales</t>
  </si>
  <si>
    <t>Purchase</t>
  </si>
  <si>
    <t>Description</t>
  </si>
  <si>
    <t>Lay'S Chips Green</t>
  </si>
  <si>
    <t>Lay'S Chips Yellow</t>
  </si>
  <si>
    <t>Lay'S Chips Blue</t>
  </si>
  <si>
    <t>Bingo Salt Chips</t>
  </si>
  <si>
    <t>Rate</t>
  </si>
  <si>
    <t>Bingo Chili Chips</t>
  </si>
  <si>
    <t>Bingo Mad angels Chips</t>
  </si>
  <si>
    <t>Kur Kure</t>
  </si>
  <si>
    <t>To Yummy Chips</t>
  </si>
  <si>
    <t>Penut Chikki Prufe</t>
  </si>
  <si>
    <t>Cavin's Kaju Butterscotch Milkshake</t>
  </si>
  <si>
    <t>Heritage Badam Milk</t>
  </si>
  <si>
    <t>Heritage Pista Milk</t>
  </si>
  <si>
    <t>Bounty Chocolate</t>
  </si>
  <si>
    <t>Snickers Chocolate Bar</t>
  </si>
  <si>
    <t xml:space="preserve">Snickers Butterscotch Flavour Chocolate Bar </t>
  </si>
  <si>
    <t>Snickers Chocolate penut Bar</t>
  </si>
  <si>
    <t>Snickers Chocolate Strawberry</t>
  </si>
  <si>
    <t xml:space="preserve">Crispello Dairy Milk Chocolate </t>
  </si>
  <si>
    <t>Kit Kat Chocolate</t>
  </si>
  <si>
    <t>Red Bull</t>
  </si>
  <si>
    <t xml:space="preserve">Monster Energy Drink </t>
  </si>
  <si>
    <t xml:space="preserve">Predator Energy Drink </t>
  </si>
  <si>
    <t>Sprite Drink</t>
  </si>
  <si>
    <t>Thums Up Drink</t>
  </si>
  <si>
    <t>Budweiser Normal</t>
  </si>
  <si>
    <t>Budweiser Apple</t>
  </si>
  <si>
    <t xml:space="preserve">Water Bottel </t>
  </si>
  <si>
    <t>Lotte Choco Pie</t>
  </si>
  <si>
    <t>143 soonkers</t>
  </si>
  <si>
    <t xml:space="preserve">Gold Flake Indie Mint </t>
  </si>
  <si>
    <t>Gold Flake King's</t>
  </si>
  <si>
    <t>Gold Flake King Lights</t>
  </si>
  <si>
    <t>Dip &amp; Dash</t>
  </si>
  <si>
    <t>Iteams</t>
  </si>
  <si>
    <t>Shift Millennium Edition</t>
  </si>
  <si>
    <t>Gold Flake Mixpod</t>
  </si>
  <si>
    <t>Classic Ice Burst</t>
  </si>
  <si>
    <t>Marlboro</t>
  </si>
  <si>
    <t>American Club L.I.T</t>
  </si>
  <si>
    <t>Haldiram's Moong Dal</t>
  </si>
  <si>
    <t>Haldiram's All in One</t>
  </si>
  <si>
    <t>A-1 Chips Tapical Chips</t>
  </si>
  <si>
    <t>A-1 Chips Sesame Crispy</t>
  </si>
  <si>
    <t>Closing stock Value</t>
  </si>
  <si>
    <t>Sales-Value</t>
  </si>
  <si>
    <t>TOTAL</t>
  </si>
  <si>
    <t>Total</t>
  </si>
  <si>
    <t>Rates</t>
  </si>
  <si>
    <t>Remarks</t>
  </si>
  <si>
    <t xml:space="preserve">Stephen Qty 31*25=775 Payment pending </t>
  </si>
  <si>
    <t>Daily Sales &amp; Closing stock 147 SOONKER'S</t>
  </si>
  <si>
    <t xml:space="preserve">Purchase Rate </t>
  </si>
  <si>
    <t>Total Rate-Purchase</t>
  </si>
  <si>
    <t xml:space="preserve">147 soonkers April Daily closing stock Count </t>
  </si>
  <si>
    <t>Burger Box</t>
  </si>
  <si>
    <t>Loaded Fries Box</t>
  </si>
  <si>
    <t>Milkshake Top Cap's</t>
  </si>
  <si>
    <t>Milkshake Bottom Cup</t>
  </si>
  <si>
    <t>French Fry Box</t>
  </si>
  <si>
    <t>Sandwich Box</t>
  </si>
  <si>
    <t>Dip Cup (Mayones / Tomato Sauce )</t>
  </si>
  <si>
    <t>Mojtos Top Cap's</t>
  </si>
  <si>
    <t>Mojtos Bottom Cup</t>
  </si>
  <si>
    <t>To Yummy Chips ( Spicy  Chili)</t>
  </si>
  <si>
    <t>Cavin's Chocolate Milkshake</t>
  </si>
  <si>
    <t>Dairy Milk Chocolate</t>
  </si>
  <si>
    <t>Smoodh -Chocolate</t>
  </si>
  <si>
    <t>Smoodh -Toffe Caramel</t>
  </si>
  <si>
    <t>Smoodh -Chocolate Hozel Nut</t>
  </si>
  <si>
    <t>Coca-Cola Zero Sugar</t>
  </si>
  <si>
    <t>Dairy Milk Chocolate (20.2 g)</t>
  </si>
  <si>
    <t xml:space="preserve">Elite Banana Pudding Cake </t>
  </si>
  <si>
    <t xml:space="preserve">Elite Dates Pudding Cake </t>
  </si>
  <si>
    <t>Uncle Chips</t>
  </si>
  <si>
    <t>Town Bus ( Butter Murukku)</t>
  </si>
  <si>
    <t>Town Bus ( Madras Mixture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</si>
</sst>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8" fillId="0" borderId="0">
      <alignment vertical="center"/>
    </xf>
    <xf numFmtId="0" fontId="13" fillId="0" borderId="0" applyNumberFormat="0" applyFill="0" applyBorder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11" applyNumberFormat="0" applyAlignment="0" applyProtection="0"/>
    <xf numFmtId="0" fontId="21" fillId="15" borderId="12" applyNumberFormat="0" applyAlignment="0" applyProtection="0"/>
    <xf numFmtId="0" fontId="22" fillId="15" borderId="11" applyNumberFormat="0" applyAlignment="0" applyProtection="0"/>
    <xf numFmtId="0" fontId="23" fillId="0" borderId="13" applyNumberFormat="0" applyFill="0" applyAlignment="0" applyProtection="0"/>
    <xf numFmtId="0" fontId="11" fillId="16" borderId="14" applyNumberFormat="0" applyAlignment="0" applyProtection="0"/>
    <xf numFmtId="0" fontId="24" fillId="0" borderId="0" applyNumberFormat="0" applyFill="0" applyBorder="0" applyAlignment="0" applyProtection="0"/>
    <xf numFmtId="0" fontId="12" fillId="17" borderId="15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7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7" fillId="41" borderId="0" applyNumberFormat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1" xfId="0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10" fillId="10" borderId="1" xfId="1" applyFont="1" applyFill="1" applyBorder="1" applyAlignment="1">
      <alignment horizontal="center"/>
    </xf>
    <xf numFmtId="0" fontId="10" fillId="9" borderId="1" xfId="1" applyFont="1" applyFill="1" applyBorder="1" applyAlignment="1">
      <alignment horizontal="center"/>
    </xf>
    <xf numFmtId="0" fontId="0" fillId="0" borderId="1" xfId="0" applyBorder="1"/>
    <xf numFmtId="0" fontId="0" fillId="43" borderId="1" xfId="0" applyFill="1" applyBorder="1"/>
    <xf numFmtId="14" fontId="0" fillId="43" borderId="1" xfId="0" applyNumberFormat="1" applyFill="1" applyBorder="1" applyAlignment="1">
      <alignment horizontal="center"/>
    </xf>
    <xf numFmtId="14" fontId="0" fillId="43" borderId="1" xfId="0" applyNumberFormat="1" applyFill="1" applyBorder="1"/>
    <xf numFmtId="0" fontId="0" fillId="0" borderId="1" xfId="0" applyBorder="1" applyAlignment="1">
      <alignment horizontal="center" vertical="center" wrapText="1" shrinkToFit="1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top"/>
    </xf>
    <xf numFmtId="14" fontId="1" fillId="4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0" fillId="2" borderId="1" xfId="0" applyFill="1" applyBorder="1"/>
    <xf numFmtId="14" fontId="1" fillId="4" borderId="1" xfId="0" applyNumberFormat="1" applyFont="1" applyFill="1" applyBorder="1" applyAlignment="1">
      <alignment horizontal="center"/>
    </xf>
    <xf numFmtId="0" fontId="3" fillId="4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45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9" fillId="7" borderId="1" xfId="1" applyFont="1" applyFill="1" applyBorder="1" applyAlignment="1">
      <alignment horizontal="center" vertical="center" wrapText="1"/>
    </xf>
    <xf numFmtId="0" fontId="9" fillId="7" borderId="2" xfId="1" applyFont="1" applyFill="1" applyBorder="1" applyAlignment="1">
      <alignment horizontal="center" vertical="center" wrapText="1"/>
    </xf>
    <xf numFmtId="0" fontId="9" fillId="7" borderId="3" xfId="1" applyFont="1" applyFill="1" applyBorder="1" applyAlignment="1">
      <alignment horizontal="center" vertical="center" wrapText="1"/>
    </xf>
    <xf numFmtId="0" fontId="9" fillId="7" borderId="4" xfId="1" applyFont="1" applyFill="1" applyBorder="1" applyAlignment="1">
      <alignment horizontal="center" vertical="center" wrapText="1"/>
    </xf>
    <xf numFmtId="0" fontId="9" fillId="7" borderId="5" xfId="1" applyFont="1" applyFill="1" applyBorder="1" applyAlignment="1">
      <alignment horizontal="center" vertical="center" wrapText="1"/>
    </xf>
    <xf numFmtId="0" fontId="9" fillId="7" borderId="6" xfId="1" applyFont="1" applyFill="1" applyBorder="1" applyAlignment="1">
      <alignment horizontal="center" vertical="center" wrapText="1"/>
    </xf>
    <xf numFmtId="0" fontId="9" fillId="7" borderId="7" xfId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42" borderId="1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" xfId="0" applyBorder="1" applyAlignment="1">
      <alignment horizontal="left" vertical="top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250000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6600"/>
      <color rgb="FFCC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139129</xdr:colOff>
      <xdr:row>0</xdr:row>
      <xdr:rowOff>0</xdr:rowOff>
    </xdr:from>
    <xdr:to>
      <xdr:col>1</xdr:col>
      <xdr:colOff>2172557</xdr:colOff>
      <xdr:row>3</xdr:row>
      <xdr:rowOff>952500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67DA1-C0AD-4D23-9658-6FAFBE251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129" y="0"/>
          <a:ext cx="2482922" cy="15625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1847850</xdr:colOff>
      <xdr:row>0</xdr:row>
      <xdr:rowOff>990600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9BE34E-65EE-7DB7-A918-C575A8597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1"/>
          <a:ext cx="1847850" cy="990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7E14-2E12-49F8-9AB0-F5AF8189F3A2}">
  <sheetPr>
    <tabColor theme="4" tint="0.39997558519241921"/>
  </sheetPr>
  <dimension ref="A1:BU60"/>
  <sheetViews>
    <sheetView showGridLines="0" workbookViewId="0">
      <pane xSplit="2" ySplit="4" topLeftCell="C5" activePane="bottomRight" state="frozen"/>
      <selection pane="topRight" activeCell="D1" sqref="D1"/>
      <selection pane="bottomLeft" activeCell="A4" sqref="A4"/>
      <selection pane="bottomRight" activeCell="C9" sqref="C9"/>
    </sheetView>
  </sheetViews>
  <sheetFormatPr defaultRowHeight="15.75" x14ac:dyDescent="0.25"/>
  <cols>
    <col min="1" max="1" width="5.140625" bestFit="1" customWidth="1"/>
    <col min="2" max="2" width="32.85546875" bestFit="1" customWidth="1"/>
    <col min="3" max="3" width="31.28515625" bestFit="1" customWidth="1"/>
    <col min="4" max="4" width="9" bestFit="1" customWidth="1"/>
    <col min="5" max="5" width="5.5703125" bestFit="1" customWidth="1"/>
    <col min="6" max="6" width="9" bestFit="1" customWidth="1"/>
    <col min="7" max="7" width="5.5703125" bestFit="1" customWidth="1"/>
    <col min="8" max="8" width="9" bestFit="1" customWidth="1"/>
    <col min="9" max="9" width="5.5703125" bestFit="1" customWidth="1"/>
    <col min="10" max="10" width="9" bestFit="1" customWidth="1"/>
    <col min="11" max="11" width="5.5703125" bestFit="1" customWidth="1"/>
    <col min="12" max="12" width="9" bestFit="1" customWidth="1"/>
    <col min="13" max="13" width="5.5703125" bestFit="1" customWidth="1"/>
    <col min="14" max="14" width="9" bestFit="1" customWidth="1"/>
    <col min="15" max="15" width="5.5703125" bestFit="1" customWidth="1"/>
    <col min="16" max="16" width="9" bestFit="1" customWidth="1"/>
    <col min="17" max="17" width="5.5703125" bestFit="1" customWidth="1"/>
    <col min="18" max="18" width="9" bestFit="1" customWidth="1"/>
    <col min="19" max="19" width="5.5703125" bestFit="1" customWidth="1"/>
    <col min="20" max="20" width="9" bestFit="1" customWidth="1"/>
    <col min="21" max="21" width="5.5703125" bestFit="1" customWidth="1"/>
    <col min="22" max="22" width="9" bestFit="1" customWidth="1"/>
    <col min="23" max="23" width="5.5703125" bestFit="1" customWidth="1"/>
    <col min="24" max="24" width="9" bestFit="1" customWidth="1"/>
    <col min="25" max="25" width="5.5703125" bestFit="1" customWidth="1"/>
    <col min="26" max="26" width="9" bestFit="1" customWidth="1"/>
    <col min="27" max="27" width="5.5703125" bestFit="1" customWidth="1"/>
    <col min="28" max="28" width="9" bestFit="1" customWidth="1"/>
    <col min="29" max="29" width="5.5703125" bestFit="1" customWidth="1"/>
    <col min="30" max="30" width="9" bestFit="1" customWidth="1"/>
    <col min="31" max="31" width="5.5703125" bestFit="1" customWidth="1"/>
    <col min="32" max="32" width="9" bestFit="1" customWidth="1"/>
    <col min="33" max="33" width="5.5703125" bestFit="1" customWidth="1"/>
    <col min="34" max="34" width="9" bestFit="1" customWidth="1"/>
    <col min="35" max="35" width="5.5703125" bestFit="1" customWidth="1"/>
    <col min="36" max="36" width="9" bestFit="1" customWidth="1"/>
    <col min="37" max="37" width="5.5703125" bestFit="1" customWidth="1"/>
    <col min="38" max="38" width="9" bestFit="1" customWidth="1"/>
    <col min="39" max="39" width="5.5703125" bestFit="1" customWidth="1"/>
    <col min="40" max="40" width="9" bestFit="1" customWidth="1"/>
    <col min="41" max="41" width="5.5703125" bestFit="1" customWidth="1"/>
    <col min="42" max="42" width="9" bestFit="1" customWidth="1"/>
    <col min="43" max="43" width="5.5703125" bestFit="1" customWidth="1"/>
    <col min="44" max="44" width="9" bestFit="1" customWidth="1"/>
    <col min="45" max="45" width="5.5703125" bestFit="1" customWidth="1"/>
    <col min="46" max="46" width="9" bestFit="1" customWidth="1"/>
    <col min="47" max="47" width="5.5703125" bestFit="1" customWidth="1"/>
    <col min="48" max="48" width="9" bestFit="1" customWidth="1"/>
    <col min="49" max="49" width="5.5703125" bestFit="1" customWidth="1"/>
    <col min="50" max="50" width="9" bestFit="1" customWidth="1"/>
    <col min="51" max="51" width="5.5703125" bestFit="1" customWidth="1"/>
    <col min="52" max="52" width="9" bestFit="1" customWidth="1"/>
    <col min="53" max="53" width="5.5703125" bestFit="1" customWidth="1"/>
    <col min="54" max="54" width="9" bestFit="1" customWidth="1"/>
    <col min="55" max="55" width="5.5703125" bestFit="1" customWidth="1"/>
    <col min="56" max="56" width="9" bestFit="1" customWidth="1"/>
    <col min="57" max="57" width="5.5703125" bestFit="1" customWidth="1"/>
    <col min="58" max="58" width="9" bestFit="1" customWidth="1"/>
    <col min="59" max="59" width="5.5703125" bestFit="1" customWidth="1"/>
    <col min="60" max="60" width="9" bestFit="1" customWidth="1"/>
    <col min="61" max="61" width="5.5703125" bestFit="1" customWidth="1"/>
    <col min="62" max="62" width="9" bestFit="1" customWidth="1"/>
    <col min="63" max="63" width="5.5703125" bestFit="1" customWidth="1"/>
    <col min="64" max="64" width="9" bestFit="1" customWidth="1"/>
    <col min="65" max="65" width="5.5703125" bestFit="1" customWidth="1"/>
    <col min="66" max="66" width="11.140625" style="3" bestFit="1" customWidth="1"/>
    <col min="67" max="67" width="5.85546875" style="3" bestFit="1" customWidth="1"/>
    <col min="68" max="68" width="16.42578125" style="3" bestFit="1" customWidth="1"/>
    <col min="71" max="71" width="5.140625" bestFit="1" customWidth="1"/>
    <col min="72" max="72" width="32.85546875" bestFit="1" customWidth="1"/>
    <col min="73" max="73" width="13.42578125" bestFit="1" customWidth="1"/>
  </cols>
  <sheetData>
    <row r="1" spans="1:73" ht="30" customHeight="1" x14ac:dyDescent="0.35">
      <c r="A1" s="38" t="s">
        <v>4</v>
      </c>
      <c r="B1" s="39" t="s">
        <v>44</v>
      </c>
      <c r="C1" s="30" t="s">
        <v>5</v>
      </c>
      <c r="D1" s="40" t="s">
        <v>43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27" t="s">
        <v>6</v>
      </c>
      <c r="BO1" s="25" t="s">
        <v>7</v>
      </c>
      <c r="BP1" s="26" t="s">
        <v>0</v>
      </c>
    </row>
    <row r="2" spans="1:73" ht="15" customHeight="1" x14ac:dyDescent="0.25">
      <c r="A2" s="38"/>
      <c r="B2" s="39"/>
      <c r="C2" s="30"/>
      <c r="D2" s="24" t="str">
        <f>+TEXT(D3,"DDD")</f>
        <v>Wed</v>
      </c>
      <c r="E2" s="24"/>
      <c r="F2" s="24" t="str">
        <f>+TEXT(F3,"DDD")</f>
        <v>Thu</v>
      </c>
      <c r="G2" s="24"/>
      <c r="H2" s="24" t="str">
        <f>+TEXT(H3,"DDD")</f>
        <v>Fri</v>
      </c>
      <c r="I2" s="24"/>
      <c r="J2" s="24" t="str">
        <f>+TEXT(J3,"DDD")</f>
        <v>Sat</v>
      </c>
      <c r="K2" s="24"/>
      <c r="L2" s="24" t="str">
        <f>+TEXT(L3,"DDD")</f>
        <v>Sun</v>
      </c>
      <c r="M2" s="24"/>
      <c r="N2" s="24" t="str">
        <f>+TEXT(N3,"DDD")</f>
        <v>Mon</v>
      </c>
      <c r="O2" s="24"/>
      <c r="P2" s="24" t="str">
        <f>+TEXT(P3,"DDD")</f>
        <v>Tue</v>
      </c>
      <c r="Q2" s="24"/>
      <c r="R2" s="24" t="str">
        <f>+TEXT(R3,"DDD")</f>
        <v>Wed</v>
      </c>
      <c r="S2" s="24"/>
      <c r="T2" s="24" t="str">
        <f>+TEXT(T3,"DDD")</f>
        <v>Thu</v>
      </c>
      <c r="U2" s="24"/>
      <c r="V2" s="24" t="str">
        <f>+TEXT(V3,"DDD")</f>
        <v>Fri</v>
      </c>
      <c r="W2" s="24"/>
      <c r="X2" s="24" t="str">
        <f>+TEXT(X3,"DDD")</f>
        <v>Sat</v>
      </c>
      <c r="Y2" s="24"/>
      <c r="Z2" s="24" t="str">
        <f>+TEXT(Z3,"DDD")</f>
        <v>Sun</v>
      </c>
      <c r="AA2" s="24"/>
      <c r="AB2" s="24" t="str">
        <f>+TEXT(AB3,"DDD")</f>
        <v>Mon</v>
      </c>
      <c r="AC2" s="24"/>
      <c r="AD2" s="24" t="str">
        <f>+TEXT(AD3,"DDD")</f>
        <v>Tue</v>
      </c>
      <c r="AE2" s="24"/>
      <c r="AF2" s="24" t="str">
        <f>+TEXT(AF3,"DDD")</f>
        <v>Wed</v>
      </c>
      <c r="AG2" s="24"/>
      <c r="AH2" s="24" t="str">
        <f>+TEXT(AH3,"DDD")</f>
        <v>Thu</v>
      </c>
      <c r="AI2" s="24"/>
      <c r="AJ2" s="24" t="str">
        <f>+TEXT(AJ3,"DDD")</f>
        <v>Fri</v>
      </c>
      <c r="AK2" s="24"/>
      <c r="AL2" s="24" t="str">
        <f>+TEXT(AL3,"DDD")</f>
        <v>Sat</v>
      </c>
      <c r="AM2" s="24"/>
      <c r="AN2" s="24" t="str">
        <f>+TEXT(AN3,"DDD")</f>
        <v>Sun</v>
      </c>
      <c r="AO2" s="24"/>
      <c r="AP2" s="24" t="str">
        <f>+TEXT(AP3,"DDD")</f>
        <v>Mon</v>
      </c>
      <c r="AQ2" s="24"/>
      <c r="AR2" s="24" t="str">
        <f>+TEXT(AR3,"DDD")</f>
        <v>Tue</v>
      </c>
      <c r="AS2" s="24"/>
      <c r="AT2" s="24" t="str">
        <f>+TEXT(AT3,"DDD")</f>
        <v>Wed</v>
      </c>
      <c r="AU2" s="24"/>
      <c r="AV2" s="24" t="str">
        <f>+TEXT(AV3,"DDD")</f>
        <v>Thu</v>
      </c>
      <c r="AW2" s="24"/>
      <c r="AX2" s="24" t="str">
        <f>+TEXT(AX3,"DDD")</f>
        <v>Fri</v>
      </c>
      <c r="AY2" s="24"/>
      <c r="AZ2" s="24" t="str">
        <f>+TEXT(AZ3,"DDD")</f>
        <v>Sat</v>
      </c>
      <c r="BA2" s="24"/>
      <c r="BB2" s="24" t="str">
        <f>+TEXT(BB3,"DDD")</f>
        <v>Sun</v>
      </c>
      <c r="BC2" s="24"/>
      <c r="BD2" s="24" t="str">
        <f>+TEXT(BD3,"DDD")</f>
        <v>Mon</v>
      </c>
      <c r="BE2" s="24"/>
      <c r="BF2" s="24" t="str">
        <f>+TEXT(BF3,"DDD")</f>
        <v>Tue</v>
      </c>
      <c r="BG2" s="24"/>
      <c r="BH2" s="24" t="str">
        <f>+TEXT(BH3,"DDD")</f>
        <v>Wed</v>
      </c>
      <c r="BI2" s="24"/>
      <c r="BJ2" s="24" t="str">
        <f>+TEXT(BJ3,"DDD")</f>
        <v>Thu</v>
      </c>
      <c r="BK2" s="24"/>
      <c r="BL2" s="24" t="str">
        <f>+TEXT(BL3,"DDD")</f>
        <v>Sat</v>
      </c>
      <c r="BM2" s="24"/>
      <c r="BN2" s="27"/>
      <c r="BO2" s="25"/>
      <c r="BP2" s="26"/>
      <c r="BS2" s="32" t="s">
        <v>3</v>
      </c>
      <c r="BT2" s="33"/>
      <c r="BU2" s="34"/>
    </row>
    <row r="3" spans="1:73" ht="15" customHeight="1" x14ac:dyDescent="0.25">
      <c r="A3" s="38"/>
      <c r="B3" s="39"/>
      <c r="C3" s="30"/>
      <c r="D3" s="22">
        <v>46113</v>
      </c>
      <c r="E3" s="22"/>
      <c r="F3" s="22">
        <v>46114</v>
      </c>
      <c r="G3" s="22"/>
      <c r="H3" s="22">
        <v>46115</v>
      </c>
      <c r="I3" s="22"/>
      <c r="J3" s="22">
        <v>46116</v>
      </c>
      <c r="K3" s="22"/>
      <c r="L3" s="22">
        <v>46117</v>
      </c>
      <c r="M3" s="22"/>
      <c r="N3" s="22">
        <v>46118</v>
      </c>
      <c r="O3" s="22"/>
      <c r="P3" s="22">
        <v>46119</v>
      </c>
      <c r="Q3" s="22"/>
      <c r="R3" s="22">
        <v>46120</v>
      </c>
      <c r="S3" s="22"/>
      <c r="T3" s="22">
        <v>46121</v>
      </c>
      <c r="U3" s="22"/>
      <c r="V3" s="22">
        <v>46122</v>
      </c>
      <c r="W3" s="22"/>
      <c r="X3" s="22">
        <v>46123</v>
      </c>
      <c r="Y3" s="22"/>
      <c r="Z3" s="22">
        <v>46124</v>
      </c>
      <c r="AA3" s="22"/>
      <c r="AB3" s="22">
        <v>46125</v>
      </c>
      <c r="AC3" s="22"/>
      <c r="AD3" s="22">
        <v>46126</v>
      </c>
      <c r="AE3" s="22"/>
      <c r="AF3" s="22">
        <v>46127</v>
      </c>
      <c r="AG3" s="22"/>
      <c r="AH3" s="22">
        <v>46128</v>
      </c>
      <c r="AI3" s="22"/>
      <c r="AJ3" s="22">
        <v>46129</v>
      </c>
      <c r="AK3" s="22"/>
      <c r="AL3" s="22">
        <v>46130</v>
      </c>
      <c r="AM3" s="22"/>
      <c r="AN3" s="22">
        <v>46131</v>
      </c>
      <c r="AO3" s="22"/>
      <c r="AP3" s="22">
        <v>46132</v>
      </c>
      <c r="AQ3" s="22"/>
      <c r="AR3" s="22">
        <v>46133</v>
      </c>
      <c r="AS3" s="22"/>
      <c r="AT3" s="22">
        <v>46134</v>
      </c>
      <c r="AU3" s="22"/>
      <c r="AV3" s="22">
        <v>46135</v>
      </c>
      <c r="AW3" s="22"/>
      <c r="AX3" s="22">
        <v>46136</v>
      </c>
      <c r="AY3" s="22"/>
      <c r="AZ3" s="22">
        <v>46137</v>
      </c>
      <c r="BA3" s="22"/>
      <c r="BB3" s="22">
        <v>46138</v>
      </c>
      <c r="BC3" s="22"/>
      <c r="BD3" s="22">
        <v>46139</v>
      </c>
      <c r="BE3" s="22"/>
      <c r="BF3" s="22">
        <v>46140</v>
      </c>
      <c r="BG3" s="22"/>
      <c r="BH3" s="22">
        <v>46141</v>
      </c>
      <c r="BI3" s="22"/>
      <c r="BJ3" s="22">
        <v>46142</v>
      </c>
      <c r="BK3" s="22"/>
      <c r="BL3" s="22"/>
      <c r="BM3" s="22"/>
      <c r="BN3" s="27"/>
      <c r="BO3" s="25"/>
      <c r="BP3" s="26"/>
      <c r="BS3" s="35"/>
      <c r="BT3" s="36"/>
      <c r="BU3" s="37"/>
    </row>
    <row r="4" spans="1:73" ht="17.25" customHeight="1" x14ac:dyDescent="0.25">
      <c r="A4" s="38"/>
      <c r="B4" s="39"/>
      <c r="C4" s="30"/>
      <c r="D4" s="5" t="s">
        <v>8</v>
      </c>
      <c r="E4" s="6" t="s">
        <v>7</v>
      </c>
      <c r="F4" s="5" t="s">
        <v>8</v>
      </c>
      <c r="G4" s="6" t="s">
        <v>7</v>
      </c>
      <c r="H4" s="5" t="s">
        <v>8</v>
      </c>
      <c r="I4" s="6" t="s">
        <v>7</v>
      </c>
      <c r="J4" s="5" t="s">
        <v>8</v>
      </c>
      <c r="K4" s="6" t="s">
        <v>7</v>
      </c>
      <c r="L4" s="5" t="s">
        <v>8</v>
      </c>
      <c r="M4" s="6" t="s">
        <v>7</v>
      </c>
      <c r="N4" s="5" t="s">
        <v>8</v>
      </c>
      <c r="O4" s="6" t="s">
        <v>7</v>
      </c>
      <c r="P4" s="5" t="s">
        <v>8</v>
      </c>
      <c r="Q4" s="6" t="s">
        <v>7</v>
      </c>
      <c r="R4" s="5" t="s">
        <v>8</v>
      </c>
      <c r="S4" s="6" t="s">
        <v>7</v>
      </c>
      <c r="T4" s="5" t="s">
        <v>8</v>
      </c>
      <c r="U4" s="6" t="s">
        <v>7</v>
      </c>
      <c r="V4" s="5" t="s">
        <v>8</v>
      </c>
      <c r="W4" s="6" t="s">
        <v>7</v>
      </c>
      <c r="X4" s="5" t="s">
        <v>8</v>
      </c>
      <c r="Y4" s="6" t="s">
        <v>7</v>
      </c>
      <c r="Z4" s="5" t="s">
        <v>8</v>
      </c>
      <c r="AA4" s="6" t="s">
        <v>7</v>
      </c>
      <c r="AB4" s="5" t="s">
        <v>8</v>
      </c>
      <c r="AC4" s="6" t="s">
        <v>7</v>
      </c>
      <c r="AD4" s="5" t="s">
        <v>8</v>
      </c>
      <c r="AE4" s="6" t="s">
        <v>7</v>
      </c>
      <c r="AF4" s="5" t="s">
        <v>8</v>
      </c>
      <c r="AG4" s="6" t="s">
        <v>7</v>
      </c>
      <c r="AH4" s="5" t="s">
        <v>8</v>
      </c>
      <c r="AI4" s="6" t="s">
        <v>7</v>
      </c>
      <c r="AJ4" s="5" t="s">
        <v>8</v>
      </c>
      <c r="AK4" s="6" t="s">
        <v>7</v>
      </c>
      <c r="AL4" s="5" t="s">
        <v>8</v>
      </c>
      <c r="AM4" s="6" t="s">
        <v>7</v>
      </c>
      <c r="AN4" s="5" t="s">
        <v>8</v>
      </c>
      <c r="AO4" s="6" t="s">
        <v>7</v>
      </c>
      <c r="AP4" s="5" t="s">
        <v>8</v>
      </c>
      <c r="AQ4" s="6" t="s">
        <v>7</v>
      </c>
      <c r="AR4" s="5" t="s">
        <v>8</v>
      </c>
      <c r="AS4" s="6" t="s">
        <v>7</v>
      </c>
      <c r="AT4" s="5" t="s">
        <v>8</v>
      </c>
      <c r="AU4" s="6" t="s">
        <v>7</v>
      </c>
      <c r="AV4" s="5" t="s">
        <v>8</v>
      </c>
      <c r="AW4" s="6" t="s">
        <v>7</v>
      </c>
      <c r="AX4" s="5" t="s">
        <v>8</v>
      </c>
      <c r="AY4" s="6" t="s">
        <v>7</v>
      </c>
      <c r="AZ4" s="5" t="s">
        <v>8</v>
      </c>
      <c r="BA4" s="6" t="s">
        <v>7</v>
      </c>
      <c r="BB4" s="5" t="s">
        <v>8</v>
      </c>
      <c r="BC4" s="6" t="s">
        <v>7</v>
      </c>
      <c r="BD4" s="5" t="s">
        <v>8</v>
      </c>
      <c r="BE4" s="6" t="s">
        <v>7</v>
      </c>
      <c r="BF4" s="5" t="s">
        <v>8</v>
      </c>
      <c r="BG4" s="6" t="s">
        <v>7</v>
      </c>
      <c r="BH4" s="5" t="s">
        <v>8</v>
      </c>
      <c r="BI4" s="6" t="s">
        <v>7</v>
      </c>
      <c r="BJ4" s="5" t="s">
        <v>8</v>
      </c>
      <c r="BK4" s="6" t="s">
        <v>7</v>
      </c>
      <c r="BL4" s="5" t="s">
        <v>8</v>
      </c>
      <c r="BM4" s="6" t="s">
        <v>7</v>
      </c>
      <c r="BN4" s="27"/>
      <c r="BO4" s="25"/>
      <c r="BP4" s="26"/>
      <c r="BS4" s="7" t="s">
        <v>1</v>
      </c>
      <c r="BT4" s="8" t="s">
        <v>9</v>
      </c>
      <c r="BU4" s="7" t="s">
        <v>2</v>
      </c>
    </row>
    <row r="5" spans="1:73" x14ac:dyDescent="0.25">
      <c r="A5">
        <v>1</v>
      </c>
      <c r="B5" s="1" t="s">
        <v>66</v>
      </c>
      <c r="C5" s="1">
        <v>255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2">
        <f t="shared" ref="BN5:BO60" si="0">SUM(D5+F5+H5+J5+L5+N5+P5+R5+T5+V5+X5+Z5+AB5+AD5+AF5+AH5+AJ5+AL5+AN5+AP5+AR5+AT5+AV5+AX5+AZ5+BB5+BD5+BF5+BH5+BJ5+BL5)</f>
        <v>0</v>
      </c>
      <c r="BO5" s="2">
        <f t="shared" si="0"/>
        <v>0</v>
      </c>
      <c r="BP5" s="2">
        <f t="shared" ref="BP5:BP60" si="1">C5+BN5-BO5</f>
        <v>255</v>
      </c>
      <c r="BS5" s="4">
        <v>1</v>
      </c>
      <c r="BT5" s="4" t="str">
        <f>B5</f>
        <v>Loaded Fries Box</v>
      </c>
      <c r="BU5" s="4">
        <f t="shared" ref="BU5:BU36" si="2">BP5</f>
        <v>255</v>
      </c>
    </row>
    <row r="6" spans="1:73" x14ac:dyDescent="0.25">
      <c r="A6">
        <v>2</v>
      </c>
      <c r="B6" s="1" t="s">
        <v>65</v>
      </c>
      <c r="C6" s="1">
        <v>238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2">
        <f t="shared" si="0"/>
        <v>0</v>
      </c>
      <c r="BO6" s="2">
        <f t="shared" si="0"/>
        <v>0</v>
      </c>
      <c r="BP6" s="2">
        <f t="shared" si="1"/>
        <v>238</v>
      </c>
      <c r="BS6" s="4">
        <f t="shared" ref="BS6:BS60" si="3">+BS5+1</f>
        <v>2</v>
      </c>
      <c r="BT6" s="4" t="str">
        <f t="shared" ref="BT6:BT60" si="4">B6</f>
        <v>Burger Box</v>
      </c>
      <c r="BU6" s="4">
        <f t="shared" si="2"/>
        <v>238</v>
      </c>
    </row>
    <row r="7" spans="1:73" x14ac:dyDescent="0.25">
      <c r="A7">
        <v>3</v>
      </c>
      <c r="B7" s="1" t="s">
        <v>67</v>
      </c>
      <c r="C7" s="1">
        <v>80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2">
        <f t="shared" si="0"/>
        <v>0</v>
      </c>
      <c r="BO7" s="2">
        <f t="shared" si="0"/>
        <v>0</v>
      </c>
      <c r="BP7" s="2">
        <f t="shared" si="1"/>
        <v>80</v>
      </c>
      <c r="BS7" s="4">
        <f t="shared" si="3"/>
        <v>3</v>
      </c>
      <c r="BT7" s="4" t="str">
        <f t="shared" si="4"/>
        <v>Milkshake Top Cap's</v>
      </c>
      <c r="BU7" s="4">
        <f t="shared" si="2"/>
        <v>80</v>
      </c>
    </row>
    <row r="8" spans="1:73" x14ac:dyDescent="0.25">
      <c r="A8">
        <v>4</v>
      </c>
      <c r="B8" s="1" t="s">
        <v>68</v>
      </c>
      <c r="C8" s="1">
        <v>80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2">
        <f t="shared" si="0"/>
        <v>0</v>
      </c>
      <c r="BO8" s="2">
        <f t="shared" si="0"/>
        <v>0</v>
      </c>
      <c r="BP8" s="2">
        <f t="shared" si="1"/>
        <v>80</v>
      </c>
      <c r="BS8" s="4">
        <f t="shared" si="3"/>
        <v>4</v>
      </c>
      <c r="BT8" s="4" t="str">
        <f t="shared" si="4"/>
        <v>Milkshake Bottom Cup</v>
      </c>
      <c r="BU8" s="4">
        <f t="shared" si="2"/>
        <v>80</v>
      </c>
    </row>
    <row r="9" spans="1:73" x14ac:dyDescent="0.25">
      <c r="A9">
        <v>5</v>
      </c>
      <c r="B9" s="1" t="s">
        <v>69</v>
      </c>
      <c r="C9" s="1">
        <v>149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2">
        <f t="shared" si="0"/>
        <v>0</v>
      </c>
      <c r="BO9" s="2">
        <f t="shared" si="0"/>
        <v>0</v>
      </c>
      <c r="BP9" s="2">
        <f t="shared" si="1"/>
        <v>149</v>
      </c>
      <c r="BS9" s="4">
        <f t="shared" si="3"/>
        <v>5</v>
      </c>
      <c r="BT9" s="4" t="str">
        <f t="shared" si="4"/>
        <v>French Fry Box</v>
      </c>
      <c r="BU9" s="4">
        <f t="shared" si="2"/>
        <v>149</v>
      </c>
    </row>
    <row r="10" spans="1:73" x14ac:dyDescent="0.25">
      <c r="A10">
        <v>6</v>
      </c>
      <c r="B10" s="1" t="s">
        <v>70</v>
      </c>
      <c r="C10" s="1">
        <v>91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2">
        <f t="shared" si="0"/>
        <v>0</v>
      </c>
      <c r="BO10" s="2">
        <f t="shared" si="0"/>
        <v>0</v>
      </c>
      <c r="BP10" s="2">
        <f t="shared" si="1"/>
        <v>91</v>
      </c>
      <c r="BS10" s="4">
        <f t="shared" si="3"/>
        <v>6</v>
      </c>
      <c r="BT10" s="4" t="str">
        <f t="shared" si="4"/>
        <v>Sandwich Box</v>
      </c>
      <c r="BU10" s="4">
        <f t="shared" si="2"/>
        <v>91</v>
      </c>
    </row>
    <row r="11" spans="1:73" x14ac:dyDescent="0.25">
      <c r="A11">
        <v>7</v>
      </c>
      <c r="B11" s="1" t="s">
        <v>71</v>
      </c>
      <c r="C11" s="1">
        <v>85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2">
        <f t="shared" si="0"/>
        <v>0</v>
      </c>
      <c r="BO11" s="2">
        <f t="shared" si="0"/>
        <v>0</v>
      </c>
      <c r="BP11" s="2">
        <f t="shared" si="1"/>
        <v>85</v>
      </c>
      <c r="BS11" s="4">
        <f t="shared" si="3"/>
        <v>7</v>
      </c>
      <c r="BT11" s="4" t="str">
        <f t="shared" si="4"/>
        <v>Dip Cup (Mayones / Tomato Sauce )</v>
      </c>
      <c r="BU11" s="4">
        <f t="shared" si="2"/>
        <v>85</v>
      </c>
    </row>
    <row r="12" spans="1:73" x14ac:dyDescent="0.25">
      <c r="A12">
        <v>8</v>
      </c>
      <c r="B12" s="1" t="s">
        <v>72</v>
      </c>
      <c r="C12" s="1">
        <v>72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2">
        <f t="shared" si="0"/>
        <v>0</v>
      </c>
      <c r="BO12" s="2">
        <f t="shared" si="0"/>
        <v>0</v>
      </c>
      <c r="BP12" s="2">
        <f t="shared" si="1"/>
        <v>72</v>
      </c>
      <c r="BS12" s="4">
        <f t="shared" si="3"/>
        <v>8</v>
      </c>
      <c r="BT12" s="4" t="str">
        <f t="shared" si="4"/>
        <v>Mojtos Top Cap's</v>
      </c>
      <c r="BU12" s="4">
        <f t="shared" si="2"/>
        <v>72</v>
      </c>
    </row>
    <row r="13" spans="1:73" x14ac:dyDescent="0.25">
      <c r="A13">
        <v>9</v>
      </c>
      <c r="B13" s="1" t="s">
        <v>73</v>
      </c>
      <c r="C13" s="1">
        <v>115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2">
        <f t="shared" si="0"/>
        <v>0</v>
      </c>
      <c r="BO13" s="2">
        <f t="shared" si="0"/>
        <v>0</v>
      </c>
      <c r="BP13" s="2">
        <f t="shared" si="1"/>
        <v>115</v>
      </c>
      <c r="BS13" s="4">
        <f t="shared" si="3"/>
        <v>9</v>
      </c>
      <c r="BT13" s="4" t="str">
        <f t="shared" si="4"/>
        <v>Mojtos Bottom Cup</v>
      </c>
      <c r="BU13" s="4">
        <f t="shared" si="2"/>
        <v>115</v>
      </c>
    </row>
    <row r="14" spans="1:73" x14ac:dyDescent="0.25">
      <c r="B14" s="1"/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2">
        <f t="shared" si="0"/>
        <v>0</v>
      </c>
      <c r="BO14" s="2">
        <f t="shared" si="0"/>
        <v>0</v>
      </c>
      <c r="BP14" s="2">
        <f t="shared" si="1"/>
        <v>0</v>
      </c>
      <c r="BS14" s="4">
        <f t="shared" si="3"/>
        <v>10</v>
      </c>
      <c r="BT14" s="4">
        <f t="shared" si="4"/>
        <v>0</v>
      </c>
      <c r="BU14" s="4">
        <f t="shared" si="2"/>
        <v>0</v>
      </c>
    </row>
    <row r="15" spans="1:73" x14ac:dyDescent="0.25">
      <c r="B15" s="1"/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2">
        <f t="shared" si="0"/>
        <v>0</v>
      </c>
      <c r="BO15" s="2">
        <f t="shared" si="0"/>
        <v>0</v>
      </c>
      <c r="BP15" s="2">
        <f t="shared" si="1"/>
        <v>0</v>
      </c>
      <c r="BS15" s="4">
        <f t="shared" si="3"/>
        <v>11</v>
      </c>
      <c r="BT15" s="4">
        <f t="shared" si="4"/>
        <v>0</v>
      </c>
      <c r="BU15" s="4">
        <f t="shared" si="2"/>
        <v>0</v>
      </c>
    </row>
    <row r="16" spans="1:73" x14ac:dyDescent="0.25">
      <c r="B16" s="1"/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2">
        <f t="shared" si="0"/>
        <v>0</v>
      </c>
      <c r="BO16" s="2">
        <f t="shared" si="0"/>
        <v>0</v>
      </c>
      <c r="BP16" s="2">
        <f t="shared" si="1"/>
        <v>0</v>
      </c>
      <c r="BS16" s="4">
        <f t="shared" si="3"/>
        <v>12</v>
      </c>
      <c r="BT16" s="4">
        <f t="shared" si="4"/>
        <v>0</v>
      </c>
      <c r="BU16" s="4">
        <f t="shared" si="2"/>
        <v>0</v>
      </c>
    </row>
    <row r="17" spans="2:73" x14ac:dyDescent="0.25">
      <c r="B17" s="1"/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2">
        <f t="shared" si="0"/>
        <v>0</v>
      </c>
      <c r="BO17" s="2">
        <f t="shared" si="0"/>
        <v>0</v>
      </c>
      <c r="BP17" s="2">
        <f t="shared" si="1"/>
        <v>0</v>
      </c>
      <c r="BS17" s="4">
        <f t="shared" si="3"/>
        <v>13</v>
      </c>
      <c r="BT17" s="4">
        <f t="shared" si="4"/>
        <v>0</v>
      </c>
      <c r="BU17" s="4">
        <f t="shared" si="2"/>
        <v>0</v>
      </c>
    </row>
    <row r="18" spans="2:73" x14ac:dyDescent="0.25">
      <c r="B18" s="1"/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2">
        <f t="shared" si="0"/>
        <v>0</v>
      </c>
      <c r="BO18" s="2">
        <f t="shared" si="0"/>
        <v>0</v>
      </c>
      <c r="BP18" s="2">
        <f t="shared" si="1"/>
        <v>0</v>
      </c>
      <c r="BS18" s="4">
        <f t="shared" si="3"/>
        <v>14</v>
      </c>
      <c r="BT18" s="4">
        <f t="shared" si="4"/>
        <v>0</v>
      </c>
      <c r="BU18" s="4">
        <f t="shared" si="2"/>
        <v>0</v>
      </c>
    </row>
    <row r="19" spans="2:73" x14ac:dyDescent="0.25">
      <c r="B19" s="1"/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2">
        <f t="shared" si="0"/>
        <v>0</v>
      </c>
      <c r="BO19" s="2">
        <f t="shared" si="0"/>
        <v>0</v>
      </c>
      <c r="BP19" s="2">
        <f t="shared" si="1"/>
        <v>0</v>
      </c>
      <c r="BS19" s="4">
        <f t="shared" si="3"/>
        <v>15</v>
      </c>
      <c r="BT19" s="4">
        <f t="shared" si="4"/>
        <v>0</v>
      </c>
      <c r="BU19" s="4">
        <f t="shared" si="2"/>
        <v>0</v>
      </c>
    </row>
    <row r="20" spans="2:73" x14ac:dyDescent="0.25">
      <c r="B20" s="1"/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2">
        <f t="shared" si="0"/>
        <v>0</v>
      </c>
      <c r="BO20" s="2">
        <f t="shared" si="0"/>
        <v>0</v>
      </c>
      <c r="BP20" s="2">
        <f t="shared" si="1"/>
        <v>0</v>
      </c>
      <c r="BS20" s="4">
        <f t="shared" si="3"/>
        <v>16</v>
      </c>
      <c r="BT20" s="4">
        <f t="shared" si="4"/>
        <v>0</v>
      </c>
      <c r="BU20" s="4">
        <f t="shared" si="2"/>
        <v>0</v>
      </c>
    </row>
    <row r="21" spans="2:73" x14ac:dyDescent="0.25">
      <c r="B21" s="1"/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2">
        <f t="shared" si="0"/>
        <v>0</v>
      </c>
      <c r="BO21" s="2">
        <f t="shared" si="0"/>
        <v>0</v>
      </c>
      <c r="BP21" s="2">
        <f t="shared" si="1"/>
        <v>0</v>
      </c>
      <c r="BS21" s="4">
        <f t="shared" si="3"/>
        <v>17</v>
      </c>
      <c r="BT21" s="4">
        <f t="shared" si="4"/>
        <v>0</v>
      </c>
      <c r="BU21" s="4">
        <f t="shared" si="2"/>
        <v>0</v>
      </c>
    </row>
    <row r="22" spans="2:73" x14ac:dyDescent="0.25">
      <c r="B22" s="1"/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2">
        <f t="shared" si="0"/>
        <v>0</v>
      </c>
      <c r="BO22" s="2">
        <f t="shared" si="0"/>
        <v>0</v>
      </c>
      <c r="BP22" s="2">
        <f t="shared" si="1"/>
        <v>0</v>
      </c>
      <c r="BS22" s="4">
        <f t="shared" si="3"/>
        <v>18</v>
      </c>
      <c r="BT22" s="4">
        <f t="shared" si="4"/>
        <v>0</v>
      </c>
      <c r="BU22" s="4">
        <f t="shared" si="2"/>
        <v>0</v>
      </c>
    </row>
    <row r="23" spans="2:73" x14ac:dyDescent="0.25">
      <c r="B23" s="1"/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2">
        <f t="shared" si="0"/>
        <v>0</v>
      </c>
      <c r="BO23" s="2">
        <f t="shared" si="0"/>
        <v>0</v>
      </c>
      <c r="BP23" s="2">
        <f t="shared" si="1"/>
        <v>0</v>
      </c>
      <c r="BS23" s="4">
        <f t="shared" si="3"/>
        <v>19</v>
      </c>
      <c r="BT23" s="4">
        <f t="shared" si="4"/>
        <v>0</v>
      </c>
      <c r="BU23" s="4">
        <f t="shared" si="2"/>
        <v>0</v>
      </c>
    </row>
    <row r="24" spans="2:73" x14ac:dyDescent="0.25">
      <c r="B24" s="1"/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2">
        <f t="shared" si="0"/>
        <v>0</v>
      </c>
      <c r="BO24" s="2">
        <f t="shared" si="0"/>
        <v>0</v>
      </c>
      <c r="BP24" s="2">
        <f t="shared" si="1"/>
        <v>0</v>
      </c>
      <c r="BS24" s="4">
        <f t="shared" si="3"/>
        <v>20</v>
      </c>
      <c r="BT24" s="4">
        <f t="shared" si="4"/>
        <v>0</v>
      </c>
      <c r="BU24" s="4">
        <f t="shared" si="2"/>
        <v>0</v>
      </c>
    </row>
    <row r="25" spans="2:73" x14ac:dyDescent="0.25">
      <c r="B25" s="1"/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2">
        <f t="shared" si="0"/>
        <v>0</v>
      </c>
      <c r="BO25" s="2">
        <f t="shared" si="0"/>
        <v>0</v>
      </c>
      <c r="BP25" s="2">
        <f t="shared" si="1"/>
        <v>0</v>
      </c>
      <c r="BS25" s="4">
        <f t="shared" si="3"/>
        <v>21</v>
      </c>
      <c r="BT25" s="4">
        <f t="shared" si="4"/>
        <v>0</v>
      </c>
      <c r="BU25" s="4">
        <f t="shared" si="2"/>
        <v>0</v>
      </c>
    </row>
    <row r="26" spans="2:73" x14ac:dyDescent="0.25">
      <c r="B26" s="1"/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2">
        <f t="shared" si="0"/>
        <v>0</v>
      </c>
      <c r="BO26" s="2">
        <f t="shared" si="0"/>
        <v>0</v>
      </c>
      <c r="BP26" s="2">
        <f t="shared" si="1"/>
        <v>0</v>
      </c>
      <c r="BS26" s="4">
        <f t="shared" si="3"/>
        <v>22</v>
      </c>
      <c r="BT26" s="4">
        <f t="shared" si="4"/>
        <v>0</v>
      </c>
      <c r="BU26" s="4">
        <f t="shared" si="2"/>
        <v>0</v>
      </c>
    </row>
    <row r="27" spans="2:73" x14ac:dyDescent="0.25">
      <c r="B27" s="1"/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2">
        <f t="shared" si="0"/>
        <v>0</v>
      </c>
      <c r="BO27" s="2">
        <f t="shared" si="0"/>
        <v>0</v>
      </c>
      <c r="BP27" s="2">
        <f t="shared" si="1"/>
        <v>0</v>
      </c>
      <c r="BS27" s="4">
        <f t="shared" si="3"/>
        <v>23</v>
      </c>
      <c r="BT27" s="4">
        <f t="shared" si="4"/>
        <v>0</v>
      </c>
      <c r="BU27" s="4">
        <f t="shared" si="2"/>
        <v>0</v>
      </c>
    </row>
    <row r="28" spans="2:73" x14ac:dyDescent="0.25">
      <c r="B28" s="1"/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2">
        <f t="shared" si="0"/>
        <v>0</v>
      </c>
      <c r="BO28" s="2">
        <f t="shared" si="0"/>
        <v>0</v>
      </c>
      <c r="BP28" s="2">
        <f t="shared" si="1"/>
        <v>0</v>
      </c>
      <c r="BS28" s="4">
        <f t="shared" si="3"/>
        <v>24</v>
      </c>
      <c r="BT28" s="4">
        <f t="shared" si="4"/>
        <v>0</v>
      </c>
      <c r="BU28" s="4">
        <f t="shared" si="2"/>
        <v>0</v>
      </c>
    </row>
    <row r="29" spans="2:73" x14ac:dyDescent="0.25">
      <c r="B29" s="1"/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2">
        <f t="shared" si="0"/>
        <v>0</v>
      </c>
      <c r="BO29" s="2">
        <f t="shared" si="0"/>
        <v>0</v>
      </c>
      <c r="BP29" s="2">
        <f t="shared" si="1"/>
        <v>0</v>
      </c>
      <c r="BS29" s="4">
        <f t="shared" si="3"/>
        <v>25</v>
      </c>
      <c r="BT29" s="4">
        <f t="shared" si="4"/>
        <v>0</v>
      </c>
      <c r="BU29" s="4">
        <f t="shared" si="2"/>
        <v>0</v>
      </c>
    </row>
    <row r="30" spans="2:73" x14ac:dyDescent="0.25">
      <c r="B30" s="1"/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2">
        <f t="shared" si="0"/>
        <v>0</v>
      </c>
      <c r="BO30" s="2">
        <f t="shared" si="0"/>
        <v>0</v>
      </c>
      <c r="BP30" s="2">
        <f t="shared" si="1"/>
        <v>0</v>
      </c>
      <c r="BS30" s="4">
        <f t="shared" si="3"/>
        <v>26</v>
      </c>
      <c r="BT30" s="4">
        <f t="shared" si="4"/>
        <v>0</v>
      </c>
      <c r="BU30" s="4">
        <f t="shared" si="2"/>
        <v>0</v>
      </c>
    </row>
    <row r="31" spans="2:73" x14ac:dyDescent="0.25">
      <c r="B31" s="1"/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2">
        <f t="shared" si="0"/>
        <v>0</v>
      </c>
      <c r="BO31" s="2">
        <f t="shared" si="0"/>
        <v>0</v>
      </c>
      <c r="BP31" s="2">
        <f t="shared" si="1"/>
        <v>0</v>
      </c>
      <c r="BS31" s="4">
        <f t="shared" si="3"/>
        <v>27</v>
      </c>
      <c r="BT31" s="4">
        <f t="shared" si="4"/>
        <v>0</v>
      </c>
      <c r="BU31" s="4">
        <f t="shared" si="2"/>
        <v>0</v>
      </c>
    </row>
    <row r="32" spans="2:73" x14ac:dyDescent="0.25">
      <c r="B32" s="1"/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2">
        <f t="shared" si="0"/>
        <v>0</v>
      </c>
      <c r="BO32" s="2">
        <f t="shared" si="0"/>
        <v>0</v>
      </c>
      <c r="BP32" s="2">
        <f t="shared" si="1"/>
        <v>0</v>
      </c>
      <c r="BS32" s="4">
        <f t="shared" si="3"/>
        <v>28</v>
      </c>
      <c r="BT32" s="4">
        <f t="shared" si="4"/>
        <v>0</v>
      </c>
      <c r="BU32" s="4">
        <f t="shared" si="2"/>
        <v>0</v>
      </c>
    </row>
    <row r="33" spans="2:73" x14ac:dyDescent="0.25">
      <c r="B33" s="1"/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2">
        <f t="shared" si="0"/>
        <v>0</v>
      </c>
      <c r="BO33" s="2">
        <f t="shared" si="0"/>
        <v>0</v>
      </c>
      <c r="BP33" s="2">
        <f t="shared" si="1"/>
        <v>0</v>
      </c>
      <c r="BS33" s="4">
        <f t="shared" si="3"/>
        <v>29</v>
      </c>
      <c r="BT33" s="4">
        <f t="shared" si="4"/>
        <v>0</v>
      </c>
      <c r="BU33" s="4">
        <f t="shared" si="2"/>
        <v>0</v>
      </c>
    </row>
    <row r="34" spans="2:73" x14ac:dyDescent="0.25">
      <c r="B34" s="1"/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2">
        <f t="shared" si="0"/>
        <v>0</v>
      </c>
      <c r="BO34" s="2">
        <f t="shared" si="0"/>
        <v>0</v>
      </c>
      <c r="BP34" s="2">
        <f t="shared" si="1"/>
        <v>0</v>
      </c>
      <c r="BS34" s="4">
        <f t="shared" si="3"/>
        <v>30</v>
      </c>
      <c r="BT34" s="4">
        <f t="shared" si="4"/>
        <v>0</v>
      </c>
      <c r="BU34" s="4">
        <f t="shared" si="2"/>
        <v>0</v>
      </c>
    </row>
    <row r="35" spans="2:73" x14ac:dyDescent="0.25">
      <c r="B35" s="1"/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2">
        <f t="shared" si="0"/>
        <v>0</v>
      </c>
      <c r="BO35" s="2">
        <f t="shared" si="0"/>
        <v>0</v>
      </c>
      <c r="BP35" s="2">
        <f t="shared" si="1"/>
        <v>0</v>
      </c>
      <c r="BS35" s="4">
        <f t="shared" si="3"/>
        <v>31</v>
      </c>
      <c r="BT35" s="4">
        <f t="shared" si="4"/>
        <v>0</v>
      </c>
      <c r="BU35" s="4">
        <f t="shared" si="2"/>
        <v>0</v>
      </c>
    </row>
    <row r="36" spans="2:73" x14ac:dyDescent="0.25">
      <c r="B36" s="1"/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2">
        <f t="shared" si="0"/>
        <v>0</v>
      </c>
      <c r="BO36" s="2">
        <f t="shared" si="0"/>
        <v>0</v>
      </c>
      <c r="BP36" s="2">
        <f t="shared" si="1"/>
        <v>0</v>
      </c>
      <c r="BS36" s="4">
        <f t="shared" si="3"/>
        <v>32</v>
      </c>
      <c r="BT36" s="4">
        <f t="shared" si="4"/>
        <v>0</v>
      </c>
      <c r="BU36" s="4">
        <f t="shared" si="2"/>
        <v>0</v>
      </c>
    </row>
    <row r="37" spans="2:73" x14ac:dyDescent="0.25">
      <c r="B37" s="1"/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2">
        <f t="shared" si="0"/>
        <v>0</v>
      </c>
      <c r="BO37" s="2">
        <f t="shared" si="0"/>
        <v>0</v>
      </c>
      <c r="BP37" s="2">
        <f t="shared" si="1"/>
        <v>0</v>
      </c>
      <c r="BS37" s="4">
        <f t="shared" si="3"/>
        <v>33</v>
      </c>
      <c r="BT37" s="4">
        <f t="shared" si="4"/>
        <v>0</v>
      </c>
      <c r="BU37" s="4">
        <f t="shared" ref="BU37:BU60" si="5">BP37</f>
        <v>0</v>
      </c>
    </row>
    <row r="38" spans="2:73" x14ac:dyDescent="0.25">
      <c r="B38" s="1"/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2">
        <f t="shared" si="0"/>
        <v>0</v>
      </c>
      <c r="BO38" s="2">
        <f t="shared" si="0"/>
        <v>0</v>
      </c>
      <c r="BP38" s="2">
        <f t="shared" si="1"/>
        <v>0</v>
      </c>
      <c r="BS38" s="4">
        <f t="shared" si="3"/>
        <v>34</v>
      </c>
      <c r="BT38" s="4">
        <f t="shared" si="4"/>
        <v>0</v>
      </c>
      <c r="BU38" s="4">
        <f t="shared" si="5"/>
        <v>0</v>
      </c>
    </row>
    <row r="39" spans="2:73" x14ac:dyDescent="0.25">
      <c r="B39" s="1"/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2">
        <f t="shared" si="0"/>
        <v>0</v>
      </c>
      <c r="BO39" s="2">
        <f t="shared" si="0"/>
        <v>0</v>
      </c>
      <c r="BP39" s="2">
        <f t="shared" si="1"/>
        <v>0</v>
      </c>
      <c r="BS39" s="4">
        <f t="shared" si="3"/>
        <v>35</v>
      </c>
      <c r="BT39" s="4">
        <f t="shared" si="4"/>
        <v>0</v>
      </c>
      <c r="BU39" s="4">
        <f t="shared" si="5"/>
        <v>0</v>
      </c>
    </row>
    <row r="40" spans="2:73" x14ac:dyDescent="0.25">
      <c r="B40" s="1"/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2">
        <f t="shared" si="0"/>
        <v>0</v>
      </c>
      <c r="BO40" s="2">
        <f t="shared" si="0"/>
        <v>0</v>
      </c>
      <c r="BP40" s="2">
        <f t="shared" si="1"/>
        <v>0</v>
      </c>
      <c r="BS40" s="4">
        <f t="shared" si="3"/>
        <v>36</v>
      </c>
      <c r="BT40" s="4">
        <f t="shared" si="4"/>
        <v>0</v>
      </c>
      <c r="BU40" s="4">
        <f t="shared" si="5"/>
        <v>0</v>
      </c>
    </row>
    <row r="41" spans="2:73" x14ac:dyDescent="0.25">
      <c r="B41" s="1"/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2">
        <f t="shared" si="0"/>
        <v>0</v>
      </c>
      <c r="BO41" s="2">
        <f t="shared" si="0"/>
        <v>0</v>
      </c>
      <c r="BP41" s="2">
        <f t="shared" si="1"/>
        <v>0</v>
      </c>
      <c r="BS41" s="4">
        <f t="shared" si="3"/>
        <v>37</v>
      </c>
      <c r="BT41" s="4">
        <f t="shared" si="4"/>
        <v>0</v>
      </c>
      <c r="BU41" s="4">
        <f t="shared" si="5"/>
        <v>0</v>
      </c>
    </row>
    <row r="42" spans="2:73" x14ac:dyDescent="0.25">
      <c r="B42" s="1"/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2">
        <f t="shared" si="0"/>
        <v>0</v>
      </c>
      <c r="BO42" s="2">
        <f t="shared" si="0"/>
        <v>0</v>
      </c>
      <c r="BP42" s="2">
        <f t="shared" si="1"/>
        <v>0</v>
      </c>
      <c r="BS42" s="4">
        <f t="shared" si="3"/>
        <v>38</v>
      </c>
      <c r="BT42" s="4">
        <f t="shared" si="4"/>
        <v>0</v>
      </c>
      <c r="BU42" s="4">
        <f t="shared" si="5"/>
        <v>0</v>
      </c>
    </row>
    <row r="43" spans="2:73" x14ac:dyDescent="0.25">
      <c r="B43" s="1"/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2">
        <f t="shared" si="0"/>
        <v>0</v>
      </c>
      <c r="BO43" s="2">
        <f t="shared" si="0"/>
        <v>0</v>
      </c>
      <c r="BP43" s="2">
        <f t="shared" si="1"/>
        <v>0</v>
      </c>
      <c r="BS43" s="4">
        <f t="shared" si="3"/>
        <v>39</v>
      </c>
      <c r="BT43" s="4">
        <f t="shared" si="4"/>
        <v>0</v>
      </c>
      <c r="BU43" s="4">
        <f t="shared" si="5"/>
        <v>0</v>
      </c>
    </row>
    <row r="44" spans="2:73" x14ac:dyDescent="0.25">
      <c r="B44" s="1"/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2">
        <f t="shared" si="0"/>
        <v>0</v>
      </c>
      <c r="BO44" s="2">
        <f t="shared" si="0"/>
        <v>0</v>
      </c>
      <c r="BP44" s="2">
        <f t="shared" si="1"/>
        <v>0</v>
      </c>
      <c r="BS44" s="4">
        <f t="shared" si="3"/>
        <v>40</v>
      </c>
      <c r="BT44" s="4">
        <f t="shared" si="4"/>
        <v>0</v>
      </c>
      <c r="BU44" s="4">
        <f t="shared" si="5"/>
        <v>0</v>
      </c>
    </row>
    <row r="45" spans="2:73" x14ac:dyDescent="0.25">
      <c r="B45" s="1"/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2">
        <f t="shared" si="0"/>
        <v>0</v>
      </c>
      <c r="BO45" s="2">
        <f t="shared" si="0"/>
        <v>0</v>
      </c>
      <c r="BP45" s="2">
        <f t="shared" si="1"/>
        <v>0</v>
      </c>
      <c r="BS45" s="4">
        <f t="shared" si="3"/>
        <v>41</v>
      </c>
      <c r="BT45" s="4">
        <f t="shared" si="4"/>
        <v>0</v>
      </c>
      <c r="BU45" s="4">
        <f t="shared" si="5"/>
        <v>0</v>
      </c>
    </row>
    <row r="46" spans="2:73" x14ac:dyDescent="0.25">
      <c r="B46" s="1"/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2">
        <f t="shared" si="0"/>
        <v>0</v>
      </c>
      <c r="BO46" s="2">
        <f t="shared" si="0"/>
        <v>0</v>
      </c>
      <c r="BP46" s="2">
        <f t="shared" si="1"/>
        <v>0</v>
      </c>
      <c r="BS46" s="4">
        <f t="shared" si="3"/>
        <v>42</v>
      </c>
      <c r="BT46" s="4">
        <f t="shared" si="4"/>
        <v>0</v>
      </c>
      <c r="BU46" s="4">
        <f t="shared" si="5"/>
        <v>0</v>
      </c>
    </row>
    <row r="47" spans="2:73" x14ac:dyDescent="0.25">
      <c r="B47" s="1"/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2">
        <f t="shared" si="0"/>
        <v>0</v>
      </c>
      <c r="BO47" s="2">
        <f t="shared" si="0"/>
        <v>0</v>
      </c>
      <c r="BP47" s="2">
        <f t="shared" si="1"/>
        <v>0</v>
      </c>
      <c r="BS47" s="4">
        <f t="shared" si="3"/>
        <v>43</v>
      </c>
      <c r="BT47" s="4">
        <f t="shared" si="4"/>
        <v>0</v>
      </c>
      <c r="BU47" s="4">
        <f t="shared" si="5"/>
        <v>0</v>
      </c>
    </row>
    <row r="48" spans="2:73" x14ac:dyDescent="0.25">
      <c r="B48" s="1"/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2">
        <f t="shared" si="0"/>
        <v>0</v>
      </c>
      <c r="BO48" s="2">
        <f t="shared" si="0"/>
        <v>0</v>
      </c>
      <c r="BP48" s="2">
        <f t="shared" si="1"/>
        <v>0</v>
      </c>
      <c r="BS48" s="4">
        <f t="shared" si="3"/>
        <v>44</v>
      </c>
      <c r="BT48" s="4">
        <f t="shared" si="4"/>
        <v>0</v>
      </c>
      <c r="BU48" s="4">
        <f t="shared" si="5"/>
        <v>0</v>
      </c>
    </row>
    <row r="49" spans="2:73" x14ac:dyDescent="0.25">
      <c r="B49" s="1"/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2">
        <f t="shared" si="0"/>
        <v>0</v>
      </c>
      <c r="BO49" s="2">
        <f t="shared" si="0"/>
        <v>0</v>
      </c>
      <c r="BP49" s="2">
        <f t="shared" si="1"/>
        <v>0</v>
      </c>
      <c r="BS49" s="4">
        <f t="shared" si="3"/>
        <v>45</v>
      </c>
      <c r="BT49" s="4">
        <f t="shared" si="4"/>
        <v>0</v>
      </c>
      <c r="BU49" s="4">
        <f t="shared" si="5"/>
        <v>0</v>
      </c>
    </row>
    <row r="50" spans="2:73" x14ac:dyDescent="0.25">
      <c r="B50" s="1"/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2">
        <f t="shared" si="0"/>
        <v>0</v>
      </c>
      <c r="BO50" s="2">
        <f t="shared" si="0"/>
        <v>0</v>
      </c>
      <c r="BP50" s="2">
        <f t="shared" si="1"/>
        <v>0</v>
      </c>
      <c r="BS50" s="4">
        <f t="shared" si="3"/>
        <v>46</v>
      </c>
      <c r="BT50" s="4">
        <f t="shared" si="4"/>
        <v>0</v>
      </c>
      <c r="BU50" s="4">
        <f t="shared" si="5"/>
        <v>0</v>
      </c>
    </row>
    <row r="51" spans="2:73" x14ac:dyDescent="0.25">
      <c r="B51" s="1"/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2">
        <f t="shared" si="0"/>
        <v>0</v>
      </c>
      <c r="BO51" s="2">
        <f t="shared" si="0"/>
        <v>0</v>
      </c>
      <c r="BP51" s="2">
        <f t="shared" si="1"/>
        <v>0</v>
      </c>
      <c r="BS51" s="4">
        <f t="shared" si="3"/>
        <v>47</v>
      </c>
      <c r="BT51" s="4">
        <f t="shared" si="4"/>
        <v>0</v>
      </c>
      <c r="BU51" s="4">
        <f t="shared" si="5"/>
        <v>0</v>
      </c>
    </row>
    <row r="52" spans="2:73" x14ac:dyDescent="0.25">
      <c r="B52" s="1"/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2">
        <f t="shared" si="0"/>
        <v>0</v>
      </c>
      <c r="BO52" s="2">
        <f t="shared" si="0"/>
        <v>0</v>
      </c>
      <c r="BP52" s="2">
        <f t="shared" si="1"/>
        <v>0</v>
      </c>
      <c r="BS52" s="4">
        <f t="shared" si="3"/>
        <v>48</v>
      </c>
      <c r="BT52" s="4">
        <f t="shared" si="4"/>
        <v>0</v>
      </c>
      <c r="BU52" s="4">
        <f t="shared" si="5"/>
        <v>0</v>
      </c>
    </row>
    <row r="53" spans="2:73" x14ac:dyDescent="0.25">
      <c r="B53" s="1"/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2">
        <f t="shared" si="0"/>
        <v>0</v>
      </c>
      <c r="BO53" s="2">
        <f t="shared" si="0"/>
        <v>0</v>
      </c>
      <c r="BP53" s="2">
        <f t="shared" si="1"/>
        <v>0</v>
      </c>
      <c r="BS53" s="4">
        <f t="shared" si="3"/>
        <v>49</v>
      </c>
      <c r="BT53" s="4">
        <f t="shared" si="4"/>
        <v>0</v>
      </c>
      <c r="BU53" s="4">
        <f t="shared" si="5"/>
        <v>0</v>
      </c>
    </row>
    <row r="54" spans="2:73" x14ac:dyDescent="0.25">
      <c r="B54" s="1"/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2">
        <f t="shared" si="0"/>
        <v>0</v>
      </c>
      <c r="BO54" s="2">
        <f t="shared" si="0"/>
        <v>0</v>
      </c>
      <c r="BP54" s="2">
        <f t="shared" si="1"/>
        <v>0</v>
      </c>
      <c r="BS54" s="4">
        <f t="shared" si="3"/>
        <v>50</v>
      </c>
      <c r="BT54" s="4">
        <f t="shared" si="4"/>
        <v>0</v>
      </c>
      <c r="BU54" s="4">
        <f t="shared" si="5"/>
        <v>0</v>
      </c>
    </row>
    <row r="55" spans="2:73" x14ac:dyDescent="0.25">
      <c r="B55" s="1"/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2">
        <f t="shared" si="0"/>
        <v>0</v>
      </c>
      <c r="BO55" s="2">
        <f t="shared" si="0"/>
        <v>0</v>
      </c>
      <c r="BP55" s="2">
        <f t="shared" si="1"/>
        <v>0</v>
      </c>
      <c r="BS55" s="4">
        <f t="shared" si="3"/>
        <v>51</v>
      </c>
      <c r="BT55" s="4">
        <f t="shared" si="4"/>
        <v>0</v>
      </c>
      <c r="BU55" s="4">
        <f t="shared" si="5"/>
        <v>0</v>
      </c>
    </row>
    <row r="56" spans="2:73" x14ac:dyDescent="0.25">
      <c r="B56" s="1"/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2">
        <f t="shared" si="0"/>
        <v>0</v>
      </c>
      <c r="BO56" s="2">
        <f t="shared" si="0"/>
        <v>0</v>
      </c>
      <c r="BP56" s="2">
        <f t="shared" si="1"/>
        <v>0</v>
      </c>
      <c r="BS56" s="4">
        <f t="shared" si="3"/>
        <v>52</v>
      </c>
      <c r="BT56" s="4">
        <f t="shared" si="4"/>
        <v>0</v>
      </c>
      <c r="BU56" s="4">
        <f t="shared" si="5"/>
        <v>0</v>
      </c>
    </row>
    <row r="57" spans="2:73" x14ac:dyDescent="0.25">
      <c r="B57" s="1"/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2">
        <f t="shared" si="0"/>
        <v>0</v>
      </c>
      <c r="BO57" s="2">
        <f t="shared" si="0"/>
        <v>0</v>
      </c>
      <c r="BP57" s="2">
        <f t="shared" si="1"/>
        <v>0</v>
      </c>
      <c r="BS57" s="4">
        <f t="shared" si="3"/>
        <v>53</v>
      </c>
      <c r="BT57" s="4">
        <f t="shared" si="4"/>
        <v>0</v>
      </c>
      <c r="BU57" s="4">
        <f t="shared" si="5"/>
        <v>0</v>
      </c>
    </row>
    <row r="58" spans="2:73" x14ac:dyDescent="0.25">
      <c r="B58" s="1"/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2">
        <f t="shared" si="0"/>
        <v>0</v>
      </c>
      <c r="BO58" s="2">
        <f t="shared" si="0"/>
        <v>0</v>
      </c>
      <c r="BP58" s="2">
        <f t="shared" si="1"/>
        <v>0</v>
      </c>
      <c r="BS58" s="4">
        <f t="shared" si="3"/>
        <v>54</v>
      </c>
      <c r="BT58" s="4">
        <f t="shared" si="4"/>
        <v>0</v>
      </c>
      <c r="BU58" s="4">
        <f t="shared" si="5"/>
        <v>0</v>
      </c>
    </row>
    <row r="59" spans="2:73" x14ac:dyDescent="0.25">
      <c r="B59" s="1"/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2">
        <f t="shared" si="0"/>
        <v>0</v>
      </c>
      <c r="BO59" s="2">
        <f t="shared" si="0"/>
        <v>0</v>
      </c>
      <c r="BP59" s="2">
        <f t="shared" si="1"/>
        <v>0</v>
      </c>
      <c r="BS59" s="4">
        <f t="shared" si="3"/>
        <v>55</v>
      </c>
      <c r="BT59" s="4">
        <f t="shared" si="4"/>
        <v>0</v>
      </c>
      <c r="BU59" s="4">
        <f t="shared" si="5"/>
        <v>0</v>
      </c>
    </row>
    <row r="60" spans="2:73" x14ac:dyDescent="0.25">
      <c r="B60" s="1"/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2">
        <f t="shared" si="0"/>
        <v>0</v>
      </c>
      <c r="BO60" s="2">
        <f t="shared" si="0"/>
        <v>0</v>
      </c>
      <c r="BP60" s="2">
        <f t="shared" si="1"/>
        <v>0</v>
      </c>
      <c r="BS60" s="4">
        <f t="shared" si="3"/>
        <v>56</v>
      </c>
      <c r="BT60" s="4">
        <f t="shared" si="4"/>
        <v>0</v>
      </c>
      <c r="BU60" s="4">
        <f t="shared" si="5"/>
        <v>0</v>
      </c>
    </row>
  </sheetData>
  <mergeCells count="70">
    <mergeCell ref="A1:A4"/>
    <mergeCell ref="B1:B4"/>
    <mergeCell ref="C1:C4"/>
    <mergeCell ref="D1:BM1"/>
    <mergeCell ref="BN1:BN4"/>
    <mergeCell ref="V2:W2"/>
    <mergeCell ref="X2:Y2"/>
    <mergeCell ref="Z2:AA2"/>
    <mergeCell ref="AB2:AC2"/>
    <mergeCell ref="AL2:AM2"/>
    <mergeCell ref="AN2:AO2"/>
    <mergeCell ref="AP2:AQ2"/>
    <mergeCell ref="AR2:AS2"/>
    <mergeCell ref="AT2:AU2"/>
    <mergeCell ref="AV2:AW2"/>
    <mergeCell ref="AX2:AY2"/>
    <mergeCell ref="BP1:BP4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O1:BO4"/>
    <mergeCell ref="AZ2:BA2"/>
    <mergeCell ref="AD2:AE2"/>
    <mergeCell ref="AF2:AG2"/>
    <mergeCell ref="AH2:AI2"/>
    <mergeCell ref="AJ2:AK2"/>
    <mergeCell ref="BS2:BU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BB2:BC2"/>
    <mergeCell ref="BD2:BE2"/>
    <mergeCell ref="BF2:BG2"/>
    <mergeCell ref="BH2:BI2"/>
    <mergeCell ref="BJ2:BK2"/>
    <mergeCell ref="BL2:BM2"/>
    <mergeCell ref="AR3:AS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BF3:BG3"/>
    <mergeCell ref="BH3:BI3"/>
    <mergeCell ref="BJ3:BK3"/>
    <mergeCell ref="BL3:BM3"/>
    <mergeCell ref="AT3:AU3"/>
    <mergeCell ref="AV3:AW3"/>
    <mergeCell ref="AX3:AY3"/>
    <mergeCell ref="AZ3:BA3"/>
    <mergeCell ref="BB3:BC3"/>
    <mergeCell ref="BD3:BE3"/>
  </mergeCells>
  <conditionalFormatting sqref="B1:B4">
    <cfRule type="duplicateValues" dxfId="2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4:CE65"/>
  <sheetViews>
    <sheetView showGridLines="0" tabSelected="1" zoomScale="89" workbookViewId="0">
      <pane xSplit="2" ySplit="8" topLeftCell="C9" activePane="bottomRight" state="frozen"/>
      <selection pane="topRight" activeCell="D1" sqref="D1"/>
      <selection pane="bottomLeft" activeCell="A4" sqref="A4"/>
      <selection pane="bottomRight" activeCell="B9" sqref="B9"/>
    </sheetView>
  </sheetViews>
  <sheetFormatPr defaultRowHeight="15.75" x14ac:dyDescent="0.25"/>
  <cols>
    <col min="1" max="1" width="6.7109375" bestFit="1" customWidth="1"/>
    <col min="2" max="2" width="41.5703125" bestFit="1" customWidth="1"/>
    <col min="3" max="3" width="6.7109375" bestFit="1" customWidth="1"/>
    <col min="4" max="4" width="31.42578125" bestFit="1" customWidth="1"/>
    <col min="5" max="5" width="14.42578125" bestFit="1" customWidth="1"/>
    <col min="6" max="6" width="10.85546875" bestFit="1" customWidth="1"/>
    <col min="7" max="7" width="14.42578125" bestFit="1" customWidth="1"/>
    <col min="8" max="8" width="10.85546875" bestFit="1" customWidth="1"/>
    <col min="9" max="9" width="14.42578125" bestFit="1" customWidth="1"/>
    <col min="10" max="10" width="10.85546875" bestFit="1" customWidth="1"/>
    <col min="11" max="11" width="14.42578125" bestFit="1" customWidth="1"/>
    <col min="12" max="12" width="10.85546875" bestFit="1" customWidth="1"/>
    <col min="13" max="13" width="14.42578125" bestFit="1" customWidth="1"/>
    <col min="14" max="14" width="10.85546875" bestFit="1" customWidth="1"/>
    <col min="15" max="15" width="14.42578125" bestFit="1" customWidth="1"/>
    <col min="16" max="16" width="10.85546875" bestFit="1" customWidth="1"/>
    <col min="17" max="17" width="14.42578125" bestFit="1" customWidth="1"/>
    <col min="18" max="18" width="10.85546875" bestFit="1" customWidth="1"/>
    <col min="19" max="19" width="14.42578125" bestFit="1" customWidth="1"/>
    <col min="20" max="20" width="10.85546875" bestFit="1" customWidth="1"/>
    <col min="21" max="21" width="14.42578125" bestFit="1" customWidth="1"/>
    <col min="22" max="22" width="10.85546875" bestFit="1" customWidth="1"/>
    <col min="23" max="23" width="14.42578125" bestFit="1" customWidth="1"/>
    <col min="24" max="24" width="10.85546875" bestFit="1" customWidth="1"/>
    <col min="25" max="25" width="14.42578125" bestFit="1" customWidth="1"/>
    <col min="26" max="26" width="10.85546875" bestFit="1" customWidth="1"/>
    <col min="27" max="27" width="14.42578125" bestFit="1" customWidth="1"/>
    <col min="28" max="28" width="10.85546875" bestFit="1" customWidth="1"/>
    <col min="29" max="29" width="14.42578125" bestFit="1" customWidth="1"/>
    <col min="30" max="30" width="10.85546875" bestFit="1" customWidth="1"/>
    <col min="31" max="31" width="7.85546875" bestFit="1" customWidth="1"/>
    <col min="32" max="32" width="14.42578125" bestFit="1" customWidth="1"/>
    <col min="33" max="33" width="10.85546875" bestFit="1" customWidth="1"/>
    <col min="34" max="34" width="14.42578125" bestFit="1" customWidth="1"/>
    <col min="35" max="35" width="10.85546875" bestFit="1" customWidth="1"/>
    <col min="36" max="36" width="14.42578125" bestFit="1" customWidth="1"/>
    <col min="37" max="37" width="10.85546875" bestFit="1" customWidth="1"/>
    <col min="38" max="38" width="14.42578125" bestFit="1" customWidth="1"/>
    <col min="39" max="39" width="10.85546875" bestFit="1" customWidth="1"/>
    <col min="40" max="40" width="14.42578125" bestFit="1" customWidth="1"/>
    <col min="41" max="41" width="10.85546875" bestFit="1" customWidth="1"/>
    <col min="42" max="42" width="14.42578125" bestFit="1" customWidth="1"/>
    <col min="43" max="43" width="10.85546875" bestFit="1" customWidth="1"/>
    <col min="44" max="44" width="14.42578125" bestFit="1" customWidth="1"/>
    <col min="45" max="45" width="10.85546875" bestFit="1" customWidth="1"/>
    <col min="46" max="46" width="14.42578125" bestFit="1" customWidth="1"/>
    <col min="47" max="47" width="10.85546875" bestFit="1" customWidth="1"/>
    <col min="48" max="48" width="14.42578125" bestFit="1" customWidth="1"/>
    <col min="49" max="49" width="10.85546875" bestFit="1" customWidth="1"/>
    <col min="50" max="50" width="14.42578125" bestFit="1" customWidth="1"/>
    <col min="51" max="51" width="10.85546875" bestFit="1" customWidth="1"/>
    <col min="52" max="52" width="14.42578125" bestFit="1" customWidth="1"/>
    <col min="53" max="53" width="10.85546875" bestFit="1" customWidth="1"/>
    <col min="54" max="54" width="14.42578125" bestFit="1" customWidth="1"/>
    <col min="55" max="55" width="10.85546875" bestFit="1" customWidth="1"/>
    <col min="56" max="56" width="14.42578125" bestFit="1" customWidth="1"/>
    <col min="57" max="57" width="10.85546875" bestFit="1" customWidth="1"/>
    <col min="58" max="58" width="14.42578125" bestFit="1" customWidth="1"/>
    <col min="59" max="59" width="10.85546875" bestFit="1" customWidth="1"/>
    <col min="60" max="60" width="14.42578125" bestFit="1" customWidth="1"/>
    <col min="61" max="61" width="10.85546875" bestFit="1" customWidth="1"/>
    <col min="62" max="62" width="14.42578125" bestFit="1" customWidth="1"/>
    <col min="63" max="63" width="10.85546875" bestFit="1" customWidth="1"/>
    <col min="64" max="64" width="14.42578125" bestFit="1" customWidth="1"/>
    <col min="65" max="65" width="10.85546875" bestFit="1" customWidth="1"/>
    <col min="66" max="66" width="14.42578125" bestFit="1" customWidth="1"/>
    <col min="67" max="67" width="10.85546875" bestFit="1" customWidth="1"/>
    <col min="68" max="68" width="11.140625" style="3" bestFit="1" customWidth="1"/>
    <col min="69" max="69" width="5.85546875" style="3" bestFit="1" customWidth="1"/>
    <col min="70" max="70" width="16.42578125" style="3" bestFit="1" customWidth="1"/>
    <col min="73" max="73" width="5.140625" bestFit="1" customWidth="1"/>
    <col min="74" max="74" width="41.5703125" bestFit="1" customWidth="1"/>
    <col min="75" max="75" width="15.28515625" bestFit="1" customWidth="1"/>
    <col min="76" max="76" width="9.28515625" bestFit="1" customWidth="1"/>
    <col min="77" max="77" width="18.85546875" bestFit="1" customWidth="1"/>
    <col min="78" max="78" width="6.42578125" bestFit="1" customWidth="1"/>
    <col min="79" max="79" width="6.28515625" bestFit="1" customWidth="1"/>
    <col min="80" max="80" width="12" bestFit="1" customWidth="1"/>
    <col min="81" max="81" width="13.5703125" bestFit="1" customWidth="1"/>
    <col min="82" max="82" width="19.42578125" bestFit="1" customWidth="1"/>
    <col min="83" max="83" width="38.85546875" bestFit="1" customWidth="1"/>
  </cols>
  <sheetData>
    <row r="4" spans="1:83" ht="82.5" customHeight="1" x14ac:dyDescent="0.25"/>
    <row r="5" spans="1:83" ht="21" x14ac:dyDescent="0.35">
      <c r="A5" s="23" t="s">
        <v>4</v>
      </c>
      <c r="B5" s="23" t="s">
        <v>9</v>
      </c>
      <c r="C5" s="23" t="s">
        <v>14</v>
      </c>
      <c r="D5" s="30" t="s">
        <v>5</v>
      </c>
      <c r="E5" s="29" t="s">
        <v>39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7" t="s">
        <v>6</v>
      </c>
      <c r="BQ5" s="25" t="s">
        <v>7</v>
      </c>
      <c r="BR5" s="26" t="s">
        <v>0</v>
      </c>
    </row>
    <row r="6" spans="1:83" ht="14.45" customHeight="1" x14ac:dyDescent="0.25">
      <c r="A6" s="23"/>
      <c r="B6" s="23"/>
      <c r="C6" s="23"/>
      <c r="D6" s="30"/>
      <c r="E6" s="24" t="str">
        <f>+TEXT(E7,"DDD")</f>
        <v>Wed</v>
      </c>
      <c r="F6" s="24"/>
      <c r="G6" s="24" t="str">
        <f>+TEXT(G7,"DDD")</f>
        <v>Thu</v>
      </c>
      <c r="H6" s="24"/>
      <c r="I6" s="24" t="str">
        <f>+TEXT(I7,"DDD")</f>
        <v>Fri</v>
      </c>
      <c r="J6" s="24"/>
      <c r="K6" s="24" t="str">
        <f>+TEXT(K7,"DDD")</f>
        <v>Sat</v>
      </c>
      <c r="L6" s="24"/>
      <c r="M6" s="24" t="str">
        <f>+TEXT(M7,"DDD")</f>
        <v>Sun</v>
      </c>
      <c r="N6" s="24"/>
      <c r="O6" s="24" t="str">
        <f>+TEXT(O7,"DDD")</f>
        <v>Mon</v>
      </c>
      <c r="P6" s="24"/>
      <c r="Q6" s="24" t="str">
        <f>+TEXT(Q7,"DDD")</f>
        <v>Tue</v>
      </c>
      <c r="R6" s="24"/>
      <c r="S6" s="24" t="str">
        <f>+TEXT(S7,"DDD")</f>
        <v>Wed</v>
      </c>
      <c r="T6" s="24"/>
      <c r="U6" s="24" t="str">
        <f>+TEXT(U7,"DDD")</f>
        <v>Thu</v>
      </c>
      <c r="V6" s="24"/>
      <c r="W6" s="24" t="str">
        <f>+TEXT(W7,"DDD")</f>
        <v>Fri</v>
      </c>
      <c r="X6" s="24"/>
      <c r="Y6" s="24" t="str">
        <f>+TEXT(Y7,"DDD")</f>
        <v>Sat</v>
      </c>
      <c r="Z6" s="24"/>
      <c r="AA6" s="24" t="str">
        <f>+TEXT(AA7,"DDD")</f>
        <v>Sun</v>
      </c>
      <c r="AB6" s="24"/>
      <c r="AC6" s="24" t="str">
        <f>+TEXT(AC7,"DDD")</f>
        <v>Mon</v>
      </c>
      <c r="AD6" s="24"/>
      <c r="AE6" s="17"/>
      <c r="AF6" s="24" t="str">
        <f>+TEXT(AF7,"DDD")</f>
        <v>Tue</v>
      </c>
      <c r="AG6" s="24"/>
      <c r="AH6" s="24" t="str">
        <f>+TEXT(AH7,"DDD")</f>
        <v>Wed</v>
      </c>
      <c r="AI6" s="24"/>
      <c r="AJ6" s="24" t="str">
        <f>+TEXT(AJ7,"DDD")</f>
        <v>Thu</v>
      </c>
      <c r="AK6" s="24"/>
      <c r="AL6" s="24" t="str">
        <f>+TEXT(AL7,"DDD")</f>
        <v>Fri</v>
      </c>
      <c r="AM6" s="24"/>
      <c r="AN6" s="24" t="str">
        <f>+TEXT(AN7,"DDD")</f>
        <v>Sat</v>
      </c>
      <c r="AO6" s="24"/>
      <c r="AP6" s="24" t="str">
        <f>+TEXT(AP7,"DDD")</f>
        <v>Sun</v>
      </c>
      <c r="AQ6" s="24"/>
      <c r="AR6" s="24" t="str">
        <f>+TEXT(AR7,"DDD")</f>
        <v>Mon</v>
      </c>
      <c r="AS6" s="24"/>
      <c r="AT6" s="24" t="str">
        <f>+TEXT(AT7,"DDD")</f>
        <v>Tue</v>
      </c>
      <c r="AU6" s="24"/>
      <c r="AV6" s="24" t="str">
        <f>+TEXT(AV7,"DDD")</f>
        <v>Wed</v>
      </c>
      <c r="AW6" s="24"/>
      <c r="AX6" s="24" t="str">
        <f>+TEXT(AX7,"DDD")</f>
        <v>Thu</v>
      </c>
      <c r="AY6" s="24"/>
      <c r="AZ6" s="24" t="str">
        <f>+TEXT(AZ7,"DDD")</f>
        <v>Fri</v>
      </c>
      <c r="BA6" s="24"/>
      <c r="BB6" s="24" t="str">
        <f>+TEXT(BB7,"DDD")</f>
        <v>Sat</v>
      </c>
      <c r="BC6" s="24"/>
      <c r="BD6" s="24" t="str">
        <f>+TEXT(BD7,"DDD")</f>
        <v>Sun</v>
      </c>
      <c r="BE6" s="24"/>
      <c r="BF6" s="24" t="str">
        <f>+TEXT(BF7,"DDD")</f>
        <v>Mon</v>
      </c>
      <c r="BG6" s="24"/>
      <c r="BH6" s="24" t="str">
        <f>+TEXT(BH7,"DDD")</f>
        <v>Tue</v>
      </c>
      <c r="BI6" s="24"/>
      <c r="BJ6" s="24" t="str">
        <f>+TEXT(BJ7,"DDD")</f>
        <v>Wed</v>
      </c>
      <c r="BK6" s="24"/>
      <c r="BL6" s="24" t="str">
        <f>+TEXT(BL7,"DDD")</f>
        <v>Thu</v>
      </c>
      <c r="BM6" s="24"/>
      <c r="BN6" s="24" t="str">
        <f>+TEXT(BN7,"DDD")</f>
        <v>Sat</v>
      </c>
      <c r="BO6" s="24"/>
      <c r="BP6" s="27"/>
      <c r="BQ6" s="25"/>
      <c r="BR6" s="26"/>
      <c r="BU6" s="31" t="s">
        <v>61</v>
      </c>
      <c r="BV6" s="31"/>
      <c r="BW6" s="31"/>
      <c r="BX6" s="31"/>
      <c r="BY6" s="31"/>
      <c r="BZ6" s="31"/>
      <c r="CA6" s="31"/>
      <c r="CB6" s="31"/>
      <c r="CC6" s="31"/>
      <c r="CD6" s="31"/>
      <c r="CE6" s="9"/>
    </row>
    <row r="7" spans="1:83" ht="14.45" customHeight="1" x14ac:dyDescent="0.25">
      <c r="A7" s="23"/>
      <c r="B7" s="23"/>
      <c r="C7" s="23"/>
      <c r="D7" s="30"/>
      <c r="E7" s="22">
        <v>46113</v>
      </c>
      <c r="F7" s="22"/>
      <c r="G7" s="22">
        <v>46114</v>
      </c>
      <c r="H7" s="22"/>
      <c r="I7" s="22">
        <v>46115</v>
      </c>
      <c r="J7" s="22"/>
      <c r="K7" s="22">
        <v>46116</v>
      </c>
      <c r="L7" s="22"/>
      <c r="M7" s="22">
        <v>46117</v>
      </c>
      <c r="N7" s="22"/>
      <c r="O7" s="22">
        <v>46118</v>
      </c>
      <c r="P7" s="22"/>
      <c r="Q7" s="22">
        <v>46119</v>
      </c>
      <c r="R7" s="22"/>
      <c r="S7" s="22">
        <v>46120</v>
      </c>
      <c r="T7" s="22"/>
      <c r="U7" s="22">
        <v>46121</v>
      </c>
      <c r="V7" s="22"/>
      <c r="W7" s="22">
        <v>46122</v>
      </c>
      <c r="X7" s="22"/>
      <c r="Y7" s="22">
        <v>46123</v>
      </c>
      <c r="Z7" s="22"/>
      <c r="AA7" s="22">
        <v>46124</v>
      </c>
      <c r="AB7" s="22"/>
      <c r="AC7" s="22">
        <v>46125</v>
      </c>
      <c r="AD7" s="22"/>
      <c r="AE7" s="16"/>
      <c r="AF7" s="22">
        <v>46126</v>
      </c>
      <c r="AG7" s="22"/>
      <c r="AH7" s="22">
        <v>46127</v>
      </c>
      <c r="AI7" s="22"/>
      <c r="AJ7" s="22">
        <v>46128</v>
      </c>
      <c r="AK7" s="22"/>
      <c r="AL7" s="22">
        <v>46129</v>
      </c>
      <c r="AM7" s="22"/>
      <c r="AN7" s="22">
        <v>46130</v>
      </c>
      <c r="AO7" s="22"/>
      <c r="AP7" s="22">
        <v>46131</v>
      </c>
      <c r="AQ7" s="22"/>
      <c r="AR7" s="22">
        <v>46132</v>
      </c>
      <c r="AS7" s="22"/>
      <c r="AT7" s="22">
        <v>46133</v>
      </c>
      <c r="AU7" s="22"/>
      <c r="AV7" s="22">
        <v>46134</v>
      </c>
      <c r="AW7" s="22"/>
      <c r="AX7" s="22">
        <v>46135</v>
      </c>
      <c r="AY7" s="22"/>
      <c r="AZ7" s="22">
        <v>46136</v>
      </c>
      <c r="BA7" s="22"/>
      <c r="BB7" s="22">
        <v>46137</v>
      </c>
      <c r="BC7" s="22"/>
      <c r="BD7" s="22">
        <v>46138</v>
      </c>
      <c r="BE7" s="22"/>
      <c r="BF7" s="22">
        <v>46139</v>
      </c>
      <c r="BG7" s="22"/>
      <c r="BH7" s="22">
        <v>46140</v>
      </c>
      <c r="BI7" s="22"/>
      <c r="BJ7" s="22">
        <v>46141</v>
      </c>
      <c r="BK7" s="22"/>
      <c r="BL7" s="22">
        <v>46142</v>
      </c>
      <c r="BM7" s="22"/>
      <c r="BN7" s="22"/>
      <c r="BO7" s="22"/>
      <c r="BP7" s="27"/>
      <c r="BQ7" s="25"/>
      <c r="BR7" s="26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9"/>
    </row>
    <row r="8" spans="1:83" ht="14.45" customHeight="1" x14ac:dyDescent="0.25">
      <c r="A8" s="23"/>
      <c r="B8" s="23"/>
      <c r="C8" s="23"/>
      <c r="D8" s="30"/>
      <c r="E8" s="5" t="s">
        <v>8</v>
      </c>
      <c r="F8" s="6" t="s">
        <v>7</v>
      </c>
      <c r="G8" s="5" t="s">
        <v>8</v>
      </c>
      <c r="H8" s="6" t="s">
        <v>7</v>
      </c>
      <c r="I8" s="5" t="s">
        <v>8</v>
      </c>
      <c r="J8" s="6" t="s">
        <v>7</v>
      </c>
      <c r="K8" s="5" t="s">
        <v>8</v>
      </c>
      <c r="L8" s="6" t="s">
        <v>7</v>
      </c>
      <c r="M8" s="5" t="s">
        <v>8</v>
      </c>
      <c r="N8" s="6" t="s">
        <v>7</v>
      </c>
      <c r="O8" s="5" t="s">
        <v>8</v>
      </c>
      <c r="P8" s="6" t="s">
        <v>7</v>
      </c>
      <c r="Q8" s="5" t="s">
        <v>8</v>
      </c>
      <c r="R8" s="6" t="s">
        <v>7</v>
      </c>
      <c r="S8" s="5" t="s">
        <v>8</v>
      </c>
      <c r="T8" s="6" t="s">
        <v>7</v>
      </c>
      <c r="U8" s="5" t="s">
        <v>8</v>
      </c>
      <c r="V8" s="6" t="s">
        <v>7</v>
      </c>
      <c r="W8" s="5" t="s">
        <v>8</v>
      </c>
      <c r="X8" s="6" t="s">
        <v>7</v>
      </c>
      <c r="Y8" s="5" t="s">
        <v>8</v>
      </c>
      <c r="Z8" s="6" t="s">
        <v>7</v>
      </c>
      <c r="AA8" s="5" t="s">
        <v>8</v>
      </c>
      <c r="AB8" s="6" t="s">
        <v>7</v>
      </c>
      <c r="AC8" s="5" t="s">
        <v>8</v>
      </c>
      <c r="AD8" s="6" t="s">
        <v>7</v>
      </c>
      <c r="AE8" s="6"/>
      <c r="AF8" s="5" t="s">
        <v>8</v>
      </c>
      <c r="AG8" s="6" t="s">
        <v>7</v>
      </c>
      <c r="AH8" s="5" t="s">
        <v>8</v>
      </c>
      <c r="AI8" s="6" t="s">
        <v>7</v>
      </c>
      <c r="AJ8" s="5" t="s">
        <v>8</v>
      </c>
      <c r="AK8" s="6" t="s">
        <v>7</v>
      </c>
      <c r="AL8" s="5" t="s">
        <v>8</v>
      </c>
      <c r="AM8" s="6" t="s">
        <v>7</v>
      </c>
      <c r="AN8" s="5" t="s">
        <v>8</v>
      </c>
      <c r="AO8" s="6" t="s">
        <v>7</v>
      </c>
      <c r="AP8" s="5" t="s">
        <v>8</v>
      </c>
      <c r="AQ8" s="6" t="s">
        <v>7</v>
      </c>
      <c r="AR8" s="5" t="s">
        <v>8</v>
      </c>
      <c r="AS8" s="6" t="s">
        <v>7</v>
      </c>
      <c r="AT8" s="5" t="s">
        <v>8</v>
      </c>
      <c r="AU8" s="6" t="s">
        <v>7</v>
      </c>
      <c r="AV8" s="5" t="s">
        <v>8</v>
      </c>
      <c r="AW8" s="6" t="s">
        <v>7</v>
      </c>
      <c r="AX8" s="5" t="s">
        <v>8</v>
      </c>
      <c r="AY8" s="6" t="s">
        <v>7</v>
      </c>
      <c r="AZ8" s="5" t="s">
        <v>8</v>
      </c>
      <c r="BA8" s="6" t="s">
        <v>7</v>
      </c>
      <c r="BB8" s="5" t="s">
        <v>8</v>
      </c>
      <c r="BC8" s="6" t="s">
        <v>7</v>
      </c>
      <c r="BD8" s="5" t="s">
        <v>8</v>
      </c>
      <c r="BE8" s="6" t="s">
        <v>7</v>
      </c>
      <c r="BF8" s="5" t="s">
        <v>8</v>
      </c>
      <c r="BG8" s="6" t="s">
        <v>7</v>
      </c>
      <c r="BH8" s="5" t="s">
        <v>8</v>
      </c>
      <c r="BI8" s="6" t="s">
        <v>7</v>
      </c>
      <c r="BJ8" s="5" t="s">
        <v>8</v>
      </c>
      <c r="BK8" s="6" t="s">
        <v>7</v>
      </c>
      <c r="BL8" s="5" t="s">
        <v>8</v>
      </c>
      <c r="BM8" s="6" t="s">
        <v>7</v>
      </c>
      <c r="BN8" s="5" t="s">
        <v>8</v>
      </c>
      <c r="BO8" s="6" t="s">
        <v>7</v>
      </c>
      <c r="BP8" s="27"/>
      <c r="BQ8" s="25"/>
      <c r="BR8" s="26"/>
      <c r="BU8" s="7" t="s">
        <v>1</v>
      </c>
      <c r="BV8" s="8" t="s">
        <v>9</v>
      </c>
      <c r="BW8" s="8" t="s">
        <v>62</v>
      </c>
      <c r="BX8" s="5" t="s">
        <v>8</v>
      </c>
      <c r="BY8" s="5" t="s">
        <v>63</v>
      </c>
      <c r="BZ8" s="8" t="s">
        <v>58</v>
      </c>
      <c r="CA8" s="8" t="s">
        <v>7</v>
      </c>
      <c r="CB8" s="8" t="s">
        <v>55</v>
      </c>
      <c r="CC8" s="7" t="s">
        <v>2</v>
      </c>
      <c r="CD8" s="7" t="s">
        <v>54</v>
      </c>
      <c r="CE8" s="8" t="s">
        <v>59</v>
      </c>
    </row>
    <row r="9" spans="1:83" ht="15.6" customHeight="1" x14ac:dyDescent="0.25">
      <c r="A9" s="9">
        <v>1</v>
      </c>
      <c r="B9" s="1" t="s">
        <v>10</v>
      </c>
      <c r="C9" s="1">
        <v>48</v>
      </c>
      <c r="D9" s="1">
        <v>10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f>1+1</f>
        <v>2</v>
      </c>
      <c r="M9" s="1">
        <v>0</v>
      </c>
      <c r="N9" s="1">
        <v>0</v>
      </c>
      <c r="O9" s="1">
        <v>0</v>
      </c>
      <c r="P9" s="1">
        <v>0</v>
      </c>
      <c r="Q9" s="1">
        <v>5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5</v>
      </c>
      <c r="AD9" s="1">
        <v>0</v>
      </c>
      <c r="AE9" s="1">
        <f>AC9*BW9</f>
        <v>160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2">
        <f t="shared" ref="BP9:BP64" si="0">SUM(E9+G9+I9+K9+M9+O9+Q9+S9+U9+W9+Y9+AA9+AC9+AF9+AH9+AJ9+AL9+AN9+AP9+AR9+AT9+AV9+AX9+AZ9+BB9+BD9+BF9+BH9+BJ9+BL9+BN9)</f>
        <v>10</v>
      </c>
      <c r="BQ9" s="2">
        <f t="shared" ref="BQ9:BQ64" si="1">SUM(F9+H9+J9+L9+N9+P9+R9+T9+V9+X9+Z9+AB9+AD9+AG9+AI9+AK9+AM9+AO9+AQ9+AS9+AU9+AW9+AY9+BA9+BC9+BE9+BG9+BI9+BK9+BM9+BO9)</f>
        <v>2</v>
      </c>
      <c r="BR9" s="2">
        <f t="shared" ref="BR9:BR64" si="2">D9+BP9-BQ9</f>
        <v>18</v>
      </c>
      <c r="BU9" s="4">
        <v>1</v>
      </c>
      <c r="BV9" s="4" t="s">
        <v>10</v>
      </c>
      <c r="BW9" s="4">
        <v>32</v>
      </c>
      <c r="BX9" s="4">
        <f>BP9</f>
        <v>10</v>
      </c>
      <c r="BY9" s="4">
        <f>BX9*BW9</f>
        <v>320</v>
      </c>
      <c r="BZ9" s="4">
        <v>48</v>
      </c>
      <c r="CA9" s="4">
        <f>BQ9</f>
        <v>2</v>
      </c>
      <c r="CB9" s="4">
        <f>CA9*BZ9</f>
        <v>96</v>
      </c>
      <c r="CC9" s="4">
        <f>BR9</f>
        <v>18</v>
      </c>
      <c r="CD9" s="9">
        <f>CC9*BZ9</f>
        <v>864</v>
      </c>
      <c r="CE9" s="9"/>
    </row>
    <row r="10" spans="1:83" ht="15.6" customHeight="1" x14ac:dyDescent="0.25">
      <c r="A10" s="9">
        <v>2</v>
      </c>
      <c r="B10" s="1" t="s">
        <v>11</v>
      </c>
      <c r="C10" s="1">
        <v>48</v>
      </c>
      <c r="D10" s="1">
        <v>9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/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2">
        <f t="shared" si="0"/>
        <v>0</v>
      </c>
      <c r="BQ10" s="2">
        <f t="shared" si="1"/>
        <v>1</v>
      </c>
      <c r="BR10" s="2">
        <f t="shared" si="2"/>
        <v>8</v>
      </c>
      <c r="BU10" s="4">
        <f t="shared" ref="BU10:BU63" si="3">+BU9+1</f>
        <v>2</v>
      </c>
      <c r="BV10" s="4" t="s">
        <v>11</v>
      </c>
      <c r="BW10" s="4"/>
      <c r="BX10" s="4">
        <f t="shared" ref="BX10:BX63" si="4">BP10</f>
        <v>0</v>
      </c>
      <c r="BY10" s="4">
        <f t="shared" ref="BY10:BY63" si="5">BX10*BW10</f>
        <v>0</v>
      </c>
      <c r="BZ10" s="4">
        <v>48</v>
      </c>
      <c r="CA10" s="4">
        <f t="shared" ref="CA10:CA36" si="6">BQ10</f>
        <v>1</v>
      </c>
      <c r="CB10" s="4">
        <f t="shared" ref="CB10:CB51" si="7">CA10*BZ10</f>
        <v>48</v>
      </c>
      <c r="CC10" s="4">
        <f t="shared" ref="CC10:CC36" si="8">BR10</f>
        <v>8</v>
      </c>
      <c r="CD10" s="9">
        <f t="shared" ref="CD10:CD63" si="9">CC10*BZ10</f>
        <v>384</v>
      </c>
      <c r="CE10" s="9"/>
    </row>
    <row r="11" spans="1:83" ht="15.6" customHeight="1" x14ac:dyDescent="0.25">
      <c r="A11" s="9">
        <v>3</v>
      </c>
      <c r="B11" s="1" t="s">
        <v>12</v>
      </c>
      <c r="C11" s="1">
        <v>48</v>
      </c>
      <c r="D11" s="1">
        <v>10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</v>
      </c>
      <c r="K11" s="1">
        <v>0</v>
      </c>
      <c r="L11" s="1">
        <v>0</v>
      </c>
      <c r="M11" s="1">
        <v>0</v>
      </c>
      <c r="N11" s="1">
        <f>1+2</f>
        <v>3</v>
      </c>
      <c r="O11" s="1">
        <v>0</v>
      </c>
      <c r="P11" s="1">
        <v>0</v>
      </c>
      <c r="Q11" s="1">
        <v>4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</v>
      </c>
      <c r="AA11" s="1">
        <v>0</v>
      </c>
      <c r="AB11" s="1">
        <v>0</v>
      </c>
      <c r="AC11" s="1">
        <v>5</v>
      </c>
      <c r="AD11" s="1">
        <v>0</v>
      </c>
      <c r="AE11" s="1">
        <f>AC11*BW11</f>
        <v>165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2">
        <f t="shared" si="0"/>
        <v>9</v>
      </c>
      <c r="BQ11" s="2">
        <f t="shared" si="1"/>
        <v>7</v>
      </c>
      <c r="BR11" s="2">
        <f t="shared" si="2"/>
        <v>12</v>
      </c>
      <c r="BU11" s="4">
        <f t="shared" si="3"/>
        <v>3</v>
      </c>
      <c r="BV11" s="4" t="s">
        <v>12</v>
      </c>
      <c r="BW11" s="4">
        <v>33</v>
      </c>
      <c r="BX11" s="4">
        <f t="shared" si="4"/>
        <v>9</v>
      </c>
      <c r="BY11" s="4">
        <f t="shared" si="5"/>
        <v>297</v>
      </c>
      <c r="BZ11" s="4">
        <v>48</v>
      </c>
      <c r="CA11" s="4">
        <f t="shared" si="6"/>
        <v>7</v>
      </c>
      <c r="CB11" s="4">
        <f t="shared" si="7"/>
        <v>336</v>
      </c>
      <c r="CC11" s="4">
        <f t="shared" si="8"/>
        <v>12</v>
      </c>
      <c r="CD11" s="9">
        <f t="shared" si="9"/>
        <v>576</v>
      </c>
      <c r="CE11" s="9"/>
    </row>
    <row r="12" spans="1:83" ht="15.6" customHeight="1" x14ac:dyDescent="0.25">
      <c r="A12" s="9">
        <v>4</v>
      </c>
      <c r="B12" s="1" t="s">
        <v>13</v>
      </c>
      <c r="C12" s="1">
        <v>50</v>
      </c>
      <c r="D12" s="1">
        <v>10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/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2">
        <f t="shared" si="0"/>
        <v>0</v>
      </c>
      <c r="BQ12" s="2">
        <f t="shared" si="1"/>
        <v>0</v>
      </c>
      <c r="BR12" s="2">
        <f t="shared" si="2"/>
        <v>10</v>
      </c>
      <c r="BU12" s="4">
        <f t="shared" si="3"/>
        <v>4</v>
      </c>
      <c r="BV12" s="4" t="s">
        <v>13</v>
      </c>
      <c r="BW12" s="4"/>
      <c r="BX12" s="4">
        <f t="shared" si="4"/>
        <v>0</v>
      </c>
      <c r="BY12" s="4">
        <f t="shared" si="5"/>
        <v>0</v>
      </c>
      <c r="BZ12" s="4">
        <v>50</v>
      </c>
      <c r="CA12" s="4">
        <f t="shared" si="6"/>
        <v>0</v>
      </c>
      <c r="CB12" s="4">
        <f t="shared" si="7"/>
        <v>0</v>
      </c>
      <c r="CC12" s="4">
        <f t="shared" si="8"/>
        <v>10</v>
      </c>
      <c r="CD12" s="9">
        <f t="shared" si="9"/>
        <v>500</v>
      </c>
      <c r="CE12" s="9"/>
    </row>
    <row r="13" spans="1:83" x14ac:dyDescent="0.25">
      <c r="A13" s="9">
        <v>5</v>
      </c>
      <c r="B13" s="1" t="s">
        <v>15</v>
      </c>
      <c r="C13" s="1">
        <v>50</v>
      </c>
      <c r="D13" s="1">
        <v>7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  <c r="AE13" s="1"/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2">
        <f t="shared" si="0"/>
        <v>0</v>
      </c>
      <c r="BQ13" s="2">
        <f t="shared" si="1"/>
        <v>3</v>
      </c>
      <c r="BR13" s="2">
        <f t="shared" si="2"/>
        <v>4</v>
      </c>
      <c r="BU13" s="4">
        <f t="shared" si="3"/>
        <v>5</v>
      </c>
      <c r="BV13" s="4" t="s">
        <v>15</v>
      </c>
      <c r="BW13" s="4"/>
      <c r="BX13" s="4">
        <f t="shared" si="4"/>
        <v>0</v>
      </c>
      <c r="BY13" s="4">
        <f t="shared" si="5"/>
        <v>0</v>
      </c>
      <c r="BZ13" s="4">
        <v>50</v>
      </c>
      <c r="CA13" s="4">
        <f t="shared" si="6"/>
        <v>3</v>
      </c>
      <c r="CB13" s="4">
        <f t="shared" si="7"/>
        <v>150</v>
      </c>
      <c r="CC13" s="4">
        <f t="shared" si="8"/>
        <v>4</v>
      </c>
      <c r="CD13" s="9">
        <f t="shared" si="9"/>
        <v>200</v>
      </c>
      <c r="CE13" s="9"/>
    </row>
    <row r="14" spans="1:83" x14ac:dyDescent="0.25">
      <c r="A14" s="9">
        <v>6</v>
      </c>
      <c r="B14" s="1" t="s">
        <v>16</v>
      </c>
      <c r="C14" s="1">
        <v>50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1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3</v>
      </c>
      <c r="AD14" s="1">
        <v>0</v>
      </c>
      <c r="AE14" s="1">
        <f>AC14*BW14</f>
        <v>96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2">
        <f t="shared" si="0"/>
        <v>3</v>
      </c>
      <c r="BQ14" s="2">
        <f t="shared" si="1"/>
        <v>4</v>
      </c>
      <c r="BR14" s="2">
        <f t="shared" si="2"/>
        <v>4</v>
      </c>
      <c r="BU14" s="4">
        <f t="shared" si="3"/>
        <v>6</v>
      </c>
      <c r="BV14" s="4" t="s">
        <v>16</v>
      </c>
      <c r="BW14" s="4">
        <v>32</v>
      </c>
      <c r="BX14" s="4">
        <f t="shared" si="4"/>
        <v>3</v>
      </c>
      <c r="BY14" s="4">
        <f t="shared" si="5"/>
        <v>96</v>
      </c>
      <c r="BZ14" s="4">
        <v>50</v>
      </c>
      <c r="CA14" s="4">
        <f t="shared" si="6"/>
        <v>4</v>
      </c>
      <c r="CB14" s="4">
        <f t="shared" si="7"/>
        <v>200</v>
      </c>
      <c r="CC14" s="4">
        <f t="shared" si="8"/>
        <v>4</v>
      </c>
      <c r="CD14" s="9">
        <f t="shared" si="9"/>
        <v>200</v>
      </c>
      <c r="CE14" s="9"/>
    </row>
    <row r="15" spans="1:83" x14ac:dyDescent="0.25">
      <c r="A15" s="9">
        <v>7</v>
      </c>
      <c r="B15" s="1" t="s">
        <v>17</v>
      </c>
      <c r="C15" s="1">
        <v>30</v>
      </c>
      <c r="D15" s="1">
        <v>5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/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2">
        <f t="shared" si="0"/>
        <v>0</v>
      </c>
      <c r="BQ15" s="2">
        <f t="shared" si="1"/>
        <v>3</v>
      </c>
      <c r="BR15" s="2">
        <f t="shared" si="2"/>
        <v>2</v>
      </c>
      <c r="BU15" s="4">
        <f t="shared" si="3"/>
        <v>7</v>
      </c>
      <c r="BV15" s="4" t="s">
        <v>17</v>
      </c>
      <c r="BW15" s="4"/>
      <c r="BX15" s="4">
        <f t="shared" si="4"/>
        <v>0</v>
      </c>
      <c r="BY15" s="4">
        <f t="shared" si="5"/>
        <v>0</v>
      </c>
      <c r="BZ15" s="4">
        <v>30</v>
      </c>
      <c r="CA15" s="4">
        <f t="shared" si="6"/>
        <v>3</v>
      </c>
      <c r="CB15" s="4">
        <f t="shared" si="7"/>
        <v>90</v>
      </c>
      <c r="CC15" s="4">
        <f t="shared" si="8"/>
        <v>2</v>
      </c>
      <c r="CD15" s="9">
        <f t="shared" si="9"/>
        <v>60</v>
      </c>
      <c r="CE15" s="9"/>
    </row>
    <row r="16" spans="1:83" x14ac:dyDescent="0.25">
      <c r="A16" s="9">
        <v>8</v>
      </c>
      <c r="B16" s="1" t="s">
        <v>18</v>
      </c>
      <c r="C16" s="1">
        <v>50</v>
      </c>
      <c r="D16" s="1">
        <v>6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/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2">
        <f t="shared" si="0"/>
        <v>0</v>
      </c>
      <c r="BQ16" s="2">
        <f t="shared" si="1"/>
        <v>2</v>
      </c>
      <c r="BR16" s="2">
        <f t="shared" si="2"/>
        <v>4</v>
      </c>
      <c r="BU16" s="4">
        <f t="shared" si="3"/>
        <v>8</v>
      </c>
      <c r="BV16" s="4" t="s">
        <v>18</v>
      </c>
      <c r="BW16" s="4"/>
      <c r="BX16" s="4">
        <f t="shared" si="4"/>
        <v>0</v>
      </c>
      <c r="BY16" s="4">
        <f t="shared" si="5"/>
        <v>0</v>
      </c>
      <c r="BZ16" s="4">
        <v>50</v>
      </c>
      <c r="CA16" s="4">
        <f t="shared" si="6"/>
        <v>2</v>
      </c>
      <c r="CB16" s="4">
        <f t="shared" si="7"/>
        <v>100</v>
      </c>
      <c r="CC16" s="4">
        <f t="shared" si="8"/>
        <v>4</v>
      </c>
      <c r="CD16" s="9">
        <f t="shared" si="9"/>
        <v>200</v>
      </c>
      <c r="CE16" s="9"/>
    </row>
    <row r="17" spans="1:83" x14ac:dyDescent="0.25">
      <c r="A17" s="9">
        <v>9</v>
      </c>
      <c r="B17" s="1" t="s">
        <v>19</v>
      </c>
      <c r="C17" s="1">
        <v>40</v>
      </c>
      <c r="D17" s="1">
        <v>4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/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2">
        <f t="shared" si="0"/>
        <v>0</v>
      </c>
      <c r="BQ17" s="2">
        <f t="shared" si="1"/>
        <v>0</v>
      </c>
      <c r="BR17" s="2">
        <f t="shared" si="2"/>
        <v>4</v>
      </c>
      <c r="BU17" s="4">
        <f t="shared" si="3"/>
        <v>9</v>
      </c>
      <c r="BV17" s="4" t="s">
        <v>19</v>
      </c>
      <c r="BW17" s="4"/>
      <c r="BX17" s="4">
        <f t="shared" si="4"/>
        <v>0</v>
      </c>
      <c r="BY17" s="4">
        <f t="shared" si="5"/>
        <v>0</v>
      </c>
      <c r="BZ17" s="4">
        <v>40</v>
      </c>
      <c r="CA17" s="4">
        <f t="shared" si="6"/>
        <v>0</v>
      </c>
      <c r="CB17" s="4">
        <f t="shared" si="7"/>
        <v>0</v>
      </c>
      <c r="CC17" s="4">
        <f t="shared" si="8"/>
        <v>4</v>
      </c>
      <c r="CD17" s="9">
        <f t="shared" si="9"/>
        <v>160</v>
      </c>
      <c r="CE17" s="9"/>
    </row>
    <row r="18" spans="1:83" x14ac:dyDescent="0.25">
      <c r="A18" s="9">
        <v>10</v>
      </c>
      <c r="B18" s="1" t="s">
        <v>20</v>
      </c>
      <c r="C18" s="1">
        <v>40</v>
      </c>
      <c r="D18" s="1">
        <v>5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f>1+1</f>
        <v>2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1</v>
      </c>
      <c r="Y18" s="1">
        <v>0</v>
      </c>
      <c r="Z18" s="1">
        <v>1</v>
      </c>
      <c r="AA18" s="1">
        <v>0</v>
      </c>
      <c r="AB18" s="1">
        <v>0</v>
      </c>
      <c r="AC18" s="1">
        <v>2</v>
      </c>
      <c r="AD18" s="1">
        <v>0</v>
      </c>
      <c r="AE18" s="1">
        <f t="shared" ref="AE18:AE20" si="10">AC18*BW18</f>
        <v>70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2">
        <f t="shared" si="0"/>
        <v>2</v>
      </c>
      <c r="BQ18" s="2">
        <f t="shared" si="1"/>
        <v>5</v>
      </c>
      <c r="BR18" s="2">
        <f t="shared" si="2"/>
        <v>2</v>
      </c>
      <c r="BU18" s="4">
        <f t="shared" si="3"/>
        <v>10</v>
      </c>
      <c r="BV18" s="4" t="s">
        <v>20</v>
      </c>
      <c r="BW18" s="4">
        <v>35</v>
      </c>
      <c r="BX18" s="4">
        <f t="shared" si="4"/>
        <v>2</v>
      </c>
      <c r="BY18" s="4">
        <f t="shared" si="5"/>
        <v>70</v>
      </c>
      <c r="BZ18" s="4">
        <v>40</v>
      </c>
      <c r="CA18" s="4">
        <f t="shared" si="6"/>
        <v>5</v>
      </c>
      <c r="CB18" s="4">
        <f t="shared" si="7"/>
        <v>200</v>
      </c>
      <c r="CC18" s="4">
        <f t="shared" si="8"/>
        <v>2</v>
      </c>
      <c r="CD18" s="9">
        <f t="shared" si="9"/>
        <v>80</v>
      </c>
      <c r="CE18" s="9"/>
    </row>
    <row r="19" spans="1:83" x14ac:dyDescent="0.25">
      <c r="A19" s="9">
        <v>11</v>
      </c>
      <c r="B19" s="1" t="s">
        <v>21</v>
      </c>
      <c r="C19" s="1">
        <v>30</v>
      </c>
      <c r="D19" s="1">
        <v>4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f>1+1</f>
        <v>2</v>
      </c>
      <c r="M19" s="1">
        <v>0</v>
      </c>
      <c r="N19" s="1">
        <f>1+1</f>
        <v>2</v>
      </c>
      <c r="O19" s="1">
        <v>0</v>
      </c>
      <c r="P19" s="1">
        <v>0</v>
      </c>
      <c r="Q19" s="1">
        <v>5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9">
        <f>1+1</f>
        <v>2</v>
      </c>
      <c r="AA19" s="1">
        <v>0</v>
      </c>
      <c r="AB19" s="1">
        <v>0</v>
      </c>
      <c r="AC19" s="1">
        <v>5</v>
      </c>
      <c r="AD19" s="1">
        <v>0</v>
      </c>
      <c r="AE19" s="1">
        <f t="shared" si="10"/>
        <v>100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2">
        <f t="shared" si="0"/>
        <v>10</v>
      </c>
      <c r="BQ19" s="2">
        <f t="shared" si="1"/>
        <v>6</v>
      </c>
      <c r="BR19" s="2">
        <f t="shared" si="2"/>
        <v>8</v>
      </c>
      <c r="BU19" s="4">
        <f t="shared" si="3"/>
        <v>11</v>
      </c>
      <c r="BV19" s="4" t="s">
        <v>21</v>
      </c>
      <c r="BW19" s="4">
        <v>20</v>
      </c>
      <c r="BX19" s="4">
        <f t="shared" si="4"/>
        <v>10</v>
      </c>
      <c r="BY19" s="4">
        <f t="shared" si="5"/>
        <v>200</v>
      </c>
      <c r="BZ19" s="4">
        <v>30</v>
      </c>
      <c r="CA19" s="4">
        <f t="shared" si="6"/>
        <v>6</v>
      </c>
      <c r="CB19" s="4">
        <f t="shared" si="7"/>
        <v>180</v>
      </c>
      <c r="CC19" s="4">
        <f t="shared" si="8"/>
        <v>8</v>
      </c>
      <c r="CD19" s="9">
        <f t="shared" si="9"/>
        <v>240</v>
      </c>
      <c r="CE19" s="9"/>
    </row>
    <row r="20" spans="1:83" x14ac:dyDescent="0.25">
      <c r="A20" s="9">
        <v>12</v>
      </c>
      <c r="B20" s="1" t="s">
        <v>22</v>
      </c>
      <c r="C20" s="1">
        <v>30</v>
      </c>
      <c r="D20" s="1">
        <v>4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f>1+1</f>
        <v>2</v>
      </c>
      <c r="M20" s="1">
        <v>0</v>
      </c>
      <c r="N20" s="1">
        <f>1+1</f>
        <v>2</v>
      </c>
      <c r="O20" s="1">
        <v>0</v>
      </c>
      <c r="P20" s="1">
        <v>0</v>
      </c>
      <c r="Q20" s="1">
        <v>5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2</v>
      </c>
      <c r="AA20" s="1">
        <v>0</v>
      </c>
      <c r="AB20" s="1">
        <v>0</v>
      </c>
      <c r="AC20" s="1">
        <v>5</v>
      </c>
      <c r="AD20" s="1">
        <v>0</v>
      </c>
      <c r="AE20" s="1">
        <f t="shared" si="10"/>
        <v>100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2">
        <f t="shared" si="0"/>
        <v>10</v>
      </c>
      <c r="BQ20" s="2">
        <f t="shared" si="1"/>
        <v>7</v>
      </c>
      <c r="BR20" s="2">
        <f t="shared" si="2"/>
        <v>7</v>
      </c>
      <c r="BU20" s="4">
        <f t="shared" si="3"/>
        <v>12</v>
      </c>
      <c r="BV20" s="4" t="s">
        <v>22</v>
      </c>
      <c r="BW20" s="4">
        <v>20</v>
      </c>
      <c r="BX20" s="4">
        <f t="shared" si="4"/>
        <v>10</v>
      </c>
      <c r="BY20" s="4">
        <f t="shared" si="5"/>
        <v>200</v>
      </c>
      <c r="BZ20" s="4">
        <v>30</v>
      </c>
      <c r="CA20" s="4">
        <f t="shared" si="6"/>
        <v>7</v>
      </c>
      <c r="CB20" s="4">
        <f t="shared" si="7"/>
        <v>210</v>
      </c>
      <c r="CC20" s="4">
        <f t="shared" si="8"/>
        <v>7</v>
      </c>
      <c r="CD20" s="9">
        <f t="shared" si="9"/>
        <v>210</v>
      </c>
      <c r="CE20" s="9"/>
    </row>
    <row r="21" spans="1:83" x14ac:dyDescent="0.25">
      <c r="A21" s="9">
        <v>13</v>
      </c>
      <c r="B21" s="1" t="s">
        <v>23</v>
      </c>
      <c r="C21" s="1">
        <v>100</v>
      </c>
      <c r="D21" s="1">
        <v>10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2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/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2">
        <f t="shared" si="0"/>
        <v>0</v>
      </c>
      <c r="BQ21" s="2">
        <f t="shared" si="1"/>
        <v>3</v>
      </c>
      <c r="BR21" s="2">
        <f t="shared" si="2"/>
        <v>7</v>
      </c>
      <c r="BU21" s="4">
        <f t="shared" si="3"/>
        <v>13</v>
      </c>
      <c r="BV21" s="4" t="s">
        <v>23</v>
      </c>
      <c r="BW21" s="4"/>
      <c r="BX21" s="4">
        <f t="shared" si="4"/>
        <v>0</v>
      </c>
      <c r="BY21" s="4">
        <f t="shared" si="5"/>
        <v>0</v>
      </c>
      <c r="BZ21" s="4">
        <v>100</v>
      </c>
      <c r="CA21" s="4">
        <f t="shared" si="6"/>
        <v>3</v>
      </c>
      <c r="CB21" s="4">
        <f t="shared" si="7"/>
        <v>300</v>
      </c>
      <c r="CC21" s="4">
        <f t="shared" si="8"/>
        <v>7</v>
      </c>
      <c r="CD21" s="9">
        <f t="shared" si="9"/>
        <v>700</v>
      </c>
      <c r="CE21" s="9"/>
    </row>
    <row r="22" spans="1:83" x14ac:dyDescent="0.25">
      <c r="A22" s="9">
        <v>14</v>
      </c>
      <c r="B22" s="1" t="s">
        <v>25</v>
      </c>
      <c r="C22" s="1">
        <v>70</v>
      </c>
      <c r="D22" s="1">
        <v>12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f>3+1+1</f>
        <v>5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</v>
      </c>
      <c r="AC22" s="1">
        <v>4</v>
      </c>
      <c r="AD22" s="1">
        <v>0</v>
      </c>
      <c r="AE22" s="1">
        <f t="shared" ref="AE22:AE23" si="11">AC22*BW22</f>
        <v>180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2">
        <f t="shared" si="0"/>
        <v>4</v>
      </c>
      <c r="BQ22" s="2">
        <f t="shared" si="1"/>
        <v>6</v>
      </c>
      <c r="BR22" s="2">
        <f t="shared" si="2"/>
        <v>10</v>
      </c>
      <c r="BU22" s="4">
        <f t="shared" si="3"/>
        <v>14</v>
      </c>
      <c r="BV22" s="4" t="s">
        <v>25</v>
      </c>
      <c r="BW22" s="4">
        <v>45</v>
      </c>
      <c r="BX22" s="4">
        <f t="shared" si="4"/>
        <v>4</v>
      </c>
      <c r="BY22" s="4">
        <f t="shared" si="5"/>
        <v>180</v>
      </c>
      <c r="BZ22" s="4">
        <v>70</v>
      </c>
      <c r="CA22" s="4">
        <f t="shared" si="6"/>
        <v>6</v>
      </c>
      <c r="CB22" s="4">
        <f t="shared" si="7"/>
        <v>420</v>
      </c>
      <c r="CC22" s="4">
        <f t="shared" si="8"/>
        <v>10</v>
      </c>
      <c r="CD22" s="9">
        <f t="shared" si="9"/>
        <v>700</v>
      </c>
      <c r="CE22" s="9"/>
    </row>
    <row r="23" spans="1:83" x14ac:dyDescent="0.25">
      <c r="A23" s="9">
        <v>15</v>
      </c>
      <c r="B23" s="1" t="s">
        <v>24</v>
      </c>
      <c r="C23" s="1">
        <v>45</v>
      </c>
      <c r="D23" s="1">
        <v>24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2</v>
      </c>
      <c r="S23" s="1">
        <v>0</v>
      </c>
      <c r="T23" s="1">
        <v>2</v>
      </c>
      <c r="U23" s="1">
        <v>0</v>
      </c>
      <c r="V23" s="1">
        <v>1</v>
      </c>
      <c r="W23" s="1">
        <v>0</v>
      </c>
      <c r="X23" s="1">
        <v>1</v>
      </c>
      <c r="Y23" s="1">
        <v>0</v>
      </c>
      <c r="Z23" s="1">
        <v>2</v>
      </c>
      <c r="AA23" s="1">
        <v>0</v>
      </c>
      <c r="AB23" s="1">
        <v>4</v>
      </c>
      <c r="AC23" s="1">
        <v>5</v>
      </c>
      <c r="AD23" s="1">
        <v>0</v>
      </c>
      <c r="AE23" s="1">
        <f t="shared" si="11"/>
        <v>150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2">
        <f t="shared" si="0"/>
        <v>5</v>
      </c>
      <c r="BQ23" s="2">
        <f t="shared" si="1"/>
        <v>12</v>
      </c>
      <c r="BR23" s="2">
        <f t="shared" si="2"/>
        <v>17</v>
      </c>
      <c r="BU23" s="4">
        <f t="shared" si="3"/>
        <v>15</v>
      </c>
      <c r="BV23" s="4" t="s">
        <v>24</v>
      </c>
      <c r="BW23" s="4">
        <v>30</v>
      </c>
      <c r="BX23" s="4">
        <f t="shared" si="4"/>
        <v>5</v>
      </c>
      <c r="BY23" s="4">
        <f t="shared" si="5"/>
        <v>150</v>
      </c>
      <c r="BZ23" s="4">
        <v>45</v>
      </c>
      <c r="CA23" s="4">
        <f t="shared" si="6"/>
        <v>12</v>
      </c>
      <c r="CB23" s="4">
        <f t="shared" si="7"/>
        <v>540</v>
      </c>
      <c r="CC23" s="4">
        <f t="shared" si="8"/>
        <v>17</v>
      </c>
      <c r="CD23" s="9">
        <f t="shared" si="9"/>
        <v>765</v>
      </c>
      <c r="CE23" s="9"/>
    </row>
    <row r="24" spans="1:83" x14ac:dyDescent="0.25">
      <c r="A24" s="9">
        <v>16</v>
      </c>
      <c r="B24" s="1" t="s">
        <v>26</v>
      </c>
      <c r="C24" s="1">
        <v>50</v>
      </c>
      <c r="D24" s="1">
        <v>4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1</v>
      </c>
      <c r="M24" s="1">
        <v>0</v>
      </c>
      <c r="N24" s="1">
        <v>1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/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2">
        <f t="shared" si="0"/>
        <v>0</v>
      </c>
      <c r="BQ24" s="2">
        <f t="shared" si="1"/>
        <v>4</v>
      </c>
      <c r="BR24" s="2">
        <f t="shared" si="2"/>
        <v>0</v>
      </c>
      <c r="BU24" s="4">
        <f t="shared" si="3"/>
        <v>16</v>
      </c>
      <c r="BV24" s="4" t="s">
        <v>26</v>
      </c>
      <c r="BW24" s="4"/>
      <c r="BX24" s="4">
        <f t="shared" si="4"/>
        <v>0</v>
      </c>
      <c r="BY24" s="4">
        <f t="shared" si="5"/>
        <v>0</v>
      </c>
      <c r="BZ24" s="4">
        <v>50</v>
      </c>
      <c r="CA24" s="4">
        <f t="shared" si="6"/>
        <v>4</v>
      </c>
      <c r="CB24" s="4">
        <f t="shared" si="7"/>
        <v>200</v>
      </c>
      <c r="CC24" s="4">
        <f t="shared" si="8"/>
        <v>0</v>
      </c>
      <c r="CD24" s="9">
        <f t="shared" si="9"/>
        <v>0</v>
      </c>
      <c r="CE24" s="9"/>
    </row>
    <row r="25" spans="1:83" x14ac:dyDescent="0.25">
      <c r="A25" s="9">
        <v>17</v>
      </c>
      <c r="B25" s="1" t="s">
        <v>27</v>
      </c>
      <c r="C25" s="1">
        <v>70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</v>
      </c>
      <c r="AC25" s="1">
        <v>4</v>
      </c>
      <c r="AD25" s="1">
        <v>0</v>
      </c>
      <c r="AE25" s="1">
        <f>AC25*BW25</f>
        <v>212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2">
        <f t="shared" si="0"/>
        <v>4</v>
      </c>
      <c r="BQ25" s="2">
        <f t="shared" si="1"/>
        <v>1</v>
      </c>
      <c r="BR25" s="2">
        <f t="shared" si="2"/>
        <v>4</v>
      </c>
      <c r="BU25" s="4">
        <f t="shared" si="3"/>
        <v>17</v>
      </c>
      <c r="BV25" s="4" t="s">
        <v>27</v>
      </c>
      <c r="BW25" s="4">
        <v>53</v>
      </c>
      <c r="BX25" s="4">
        <f t="shared" si="4"/>
        <v>4</v>
      </c>
      <c r="BY25" s="4">
        <f t="shared" si="5"/>
        <v>212</v>
      </c>
      <c r="BZ25" s="4">
        <v>70</v>
      </c>
      <c r="CA25" s="4">
        <f t="shared" si="6"/>
        <v>1</v>
      </c>
      <c r="CB25" s="4">
        <f t="shared" si="7"/>
        <v>70</v>
      </c>
      <c r="CC25" s="4">
        <f t="shared" si="8"/>
        <v>4</v>
      </c>
      <c r="CD25" s="9">
        <f t="shared" si="9"/>
        <v>280</v>
      </c>
      <c r="CE25" s="9"/>
    </row>
    <row r="26" spans="1:83" x14ac:dyDescent="0.25">
      <c r="A26" s="9">
        <v>18</v>
      </c>
      <c r="B26" s="1" t="s">
        <v>28</v>
      </c>
      <c r="C26" s="1">
        <v>40</v>
      </c>
      <c r="D26" s="1">
        <v>14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f>1+1</f>
        <v>2</v>
      </c>
      <c r="M26" s="1">
        <v>0</v>
      </c>
      <c r="N26" s="1">
        <v>1</v>
      </c>
      <c r="O26" s="1">
        <v>0</v>
      </c>
      <c r="P26" s="1">
        <f>1+1</f>
        <v>2</v>
      </c>
      <c r="Q26" s="1">
        <v>0</v>
      </c>
      <c r="R26" s="1">
        <v>0</v>
      </c>
      <c r="S26" s="1">
        <v>0</v>
      </c>
      <c r="T26" s="1">
        <f>2+1</f>
        <v>3</v>
      </c>
      <c r="U26" s="1">
        <v>0</v>
      </c>
      <c r="V26" s="1">
        <f>1+1</f>
        <v>2</v>
      </c>
      <c r="W26" s="1">
        <v>0</v>
      </c>
      <c r="X26" s="1">
        <v>1</v>
      </c>
      <c r="Y26" s="1">
        <v>0</v>
      </c>
      <c r="Z26" s="1">
        <v>0</v>
      </c>
      <c r="AA26" s="1">
        <v>0</v>
      </c>
      <c r="AB26" s="1">
        <v>3</v>
      </c>
      <c r="AC26" s="1">
        <v>0</v>
      </c>
      <c r="AD26" s="1">
        <v>0</v>
      </c>
      <c r="AE26" s="1"/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2">
        <f t="shared" si="0"/>
        <v>0</v>
      </c>
      <c r="BQ26" s="2">
        <f t="shared" si="1"/>
        <v>14</v>
      </c>
      <c r="BR26" s="2">
        <f t="shared" si="2"/>
        <v>0</v>
      </c>
      <c r="BU26" s="4">
        <f t="shared" si="3"/>
        <v>18</v>
      </c>
      <c r="BV26" s="4" t="s">
        <v>28</v>
      </c>
      <c r="BW26" s="4"/>
      <c r="BX26" s="4">
        <f t="shared" si="4"/>
        <v>0</v>
      </c>
      <c r="BY26" s="4">
        <f t="shared" si="5"/>
        <v>0</v>
      </c>
      <c r="BZ26" s="4">
        <v>40</v>
      </c>
      <c r="CA26" s="4">
        <f t="shared" si="6"/>
        <v>14</v>
      </c>
      <c r="CB26" s="4">
        <f t="shared" si="7"/>
        <v>560</v>
      </c>
      <c r="CC26" s="4">
        <f t="shared" si="8"/>
        <v>0</v>
      </c>
      <c r="CD26" s="9">
        <f t="shared" si="9"/>
        <v>0</v>
      </c>
      <c r="CE26" s="9"/>
    </row>
    <row r="27" spans="1:83" x14ac:dyDescent="0.25">
      <c r="A27" s="9">
        <v>19</v>
      </c>
      <c r="B27" s="1" t="s">
        <v>29</v>
      </c>
      <c r="C27" s="1">
        <v>20</v>
      </c>
      <c r="D27" s="1">
        <v>10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2</v>
      </c>
      <c r="K27" s="1">
        <v>0</v>
      </c>
      <c r="L27" s="1">
        <v>1</v>
      </c>
      <c r="M27" s="1">
        <v>0</v>
      </c>
      <c r="N27" s="1">
        <v>2</v>
      </c>
      <c r="O27" s="1">
        <v>0</v>
      </c>
      <c r="P27" s="1">
        <f>1+1</f>
        <v>2</v>
      </c>
      <c r="Q27" s="1">
        <v>0</v>
      </c>
      <c r="R27" s="1">
        <v>2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18</v>
      </c>
      <c r="AD27" s="1">
        <v>0</v>
      </c>
      <c r="AE27" s="1">
        <f>AC27*BW27</f>
        <v>334.62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2">
        <f t="shared" si="0"/>
        <v>18</v>
      </c>
      <c r="BQ27" s="2">
        <f t="shared" si="1"/>
        <v>10</v>
      </c>
      <c r="BR27" s="2">
        <f t="shared" si="2"/>
        <v>18</v>
      </c>
      <c r="BU27" s="4">
        <f t="shared" si="3"/>
        <v>19</v>
      </c>
      <c r="BV27" s="4" t="s">
        <v>29</v>
      </c>
      <c r="BW27" s="4">
        <v>18.59</v>
      </c>
      <c r="BX27" s="4">
        <f t="shared" si="4"/>
        <v>18</v>
      </c>
      <c r="BY27" s="4">
        <f t="shared" si="5"/>
        <v>334.62</v>
      </c>
      <c r="BZ27" s="4">
        <v>20</v>
      </c>
      <c r="CA27" s="4">
        <f t="shared" si="6"/>
        <v>10</v>
      </c>
      <c r="CB27" s="4">
        <f t="shared" si="7"/>
        <v>200</v>
      </c>
      <c r="CC27" s="4">
        <f t="shared" si="8"/>
        <v>18</v>
      </c>
      <c r="CD27" s="9">
        <f t="shared" si="9"/>
        <v>360</v>
      </c>
      <c r="CE27" s="9"/>
    </row>
    <row r="28" spans="1:83" x14ac:dyDescent="0.25">
      <c r="A28" s="9">
        <v>20</v>
      </c>
      <c r="B28" s="1" t="s">
        <v>30</v>
      </c>
      <c r="C28" s="1">
        <v>125</v>
      </c>
      <c r="D28" s="1">
        <v>19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f>1+1+1</f>
        <v>3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/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2">
        <f t="shared" si="0"/>
        <v>0</v>
      </c>
      <c r="BQ28" s="2">
        <f t="shared" si="1"/>
        <v>7</v>
      </c>
      <c r="BR28" s="2">
        <f t="shared" si="2"/>
        <v>12</v>
      </c>
      <c r="BU28" s="4">
        <f t="shared" si="3"/>
        <v>20</v>
      </c>
      <c r="BV28" s="4" t="s">
        <v>30</v>
      </c>
      <c r="BW28" s="4"/>
      <c r="BX28" s="4">
        <f t="shared" si="4"/>
        <v>0</v>
      </c>
      <c r="BY28" s="4">
        <f t="shared" si="5"/>
        <v>0</v>
      </c>
      <c r="BZ28" s="4">
        <v>125</v>
      </c>
      <c r="CA28" s="4">
        <f t="shared" si="6"/>
        <v>7</v>
      </c>
      <c r="CB28" s="4">
        <f t="shared" si="7"/>
        <v>875</v>
      </c>
      <c r="CC28" s="4">
        <f t="shared" si="8"/>
        <v>12</v>
      </c>
      <c r="CD28" s="9">
        <f t="shared" si="9"/>
        <v>1500</v>
      </c>
      <c r="CE28" s="9"/>
    </row>
    <row r="29" spans="1:83" x14ac:dyDescent="0.25">
      <c r="A29" s="9">
        <v>21</v>
      </c>
      <c r="B29" s="1" t="s">
        <v>32</v>
      </c>
      <c r="C29" s="1">
        <v>60</v>
      </c>
      <c r="D29" s="1">
        <v>8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/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2">
        <f t="shared" si="0"/>
        <v>0</v>
      </c>
      <c r="BQ29" s="2">
        <f t="shared" si="1"/>
        <v>2</v>
      </c>
      <c r="BR29" s="2">
        <f t="shared" si="2"/>
        <v>6</v>
      </c>
      <c r="BU29" s="4">
        <f t="shared" si="3"/>
        <v>21</v>
      </c>
      <c r="BV29" s="4" t="s">
        <v>32</v>
      </c>
      <c r="BW29" s="4"/>
      <c r="BX29" s="4">
        <f t="shared" si="4"/>
        <v>0</v>
      </c>
      <c r="BY29" s="4">
        <f t="shared" si="5"/>
        <v>0</v>
      </c>
      <c r="BZ29" s="4">
        <v>60</v>
      </c>
      <c r="CA29" s="4">
        <f t="shared" si="6"/>
        <v>2</v>
      </c>
      <c r="CB29" s="4">
        <f t="shared" si="7"/>
        <v>120</v>
      </c>
      <c r="CC29" s="4">
        <f t="shared" si="8"/>
        <v>6</v>
      </c>
      <c r="CD29" s="9">
        <f t="shared" si="9"/>
        <v>360</v>
      </c>
      <c r="CE29" s="9"/>
    </row>
    <row r="30" spans="1:83" x14ac:dyDescent="0.25">
      <c r="A30" s="9">
        <v>22</v>
      </c>
      <c r="B30" s="1" t="s">
        <v>31</v>
      </c>
      <c r="C30" s="1">
        <v>125</v>
      </c>
      <c r="D30" s="1">
        <v>9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/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2">
        <f t="shared" si="0"/>
        <v>0</v>
      </c>
      <c r="BQ30" s="2">
        <f t="shared" si="1"/>
        <v>0</v>
      </c>
      <c r="BR30" s="2">
        <f t="shared" si="2"/>
        <v>9</v>
      </c>
      <c r="BU30" s="4">
        <f t="shared" si="3"/>
        <v>22</v>
      </c>
      <c r="BV30" s="4" t="s">
        <v>31</v>
      </c>
      <c r="BW30" s="4"/>
      <c r="BX30" s="4">
        <f t="shared" si="4"/>
        <v>0</v>
      </c>
      <c r="BY30" s="4">
        <f t="shared" si="5"/>
        <v>0</v>
      </c>
      <c r="BZ30" s="4">
        <v>125</v>
      </c>
      <c r="CA30" s="4">
        <f t="shared" si="6"/>
        <v>0</v>
      </c>
      <c r="CB30" s="4">
        <f t="shared" si="7"/>
        <v>0</v>
      </c>
      <c r="CC30" s="4">
        <f t="shared" si="8"/>
        <v>9</v>
      </c>
      <c r="CD30" s="9">
        <f t="shared" si="9"/>
        <v>1125</v>
      </c>
      <c r="CE30" s="9"/>
    </row>
    <row r="31" spans="1:83" x14ac:dyDescent="0.25">
      <c r="A31" s="9">
        <v>23</v>
      </c>
      <c r="B31" s="1" t="s">
        <v>33</v>
      </c>
      <c r="C31" s="1">
        <v>40</v>
      </c>
      <c r="D31" s="1">
        <v>17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0</v>
      </c>
      <c r="L31" s="1">
        <f>1+2+1</f>
        <v>4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f>1+1</f>
        <v>2</v>
      </c>
      <c r="S31" s="1">
        <v>0</v>
      </c>
      <c r="T31" s="1">
        <v>0</v>
      </c>
      <c r="U31" s="1">
        <v>0</v>
      </c>
      <c r="V31" s="1">
        <f>1+1</f>
        <v>2</v>
      </c>
      <c r="W31" s="1">
        <v>0</v>
      </c>
      <c r="X31" s="1">
        <v>0</v>
      </c>
      <c r="Y31" s="1">
        <v>0</v>
      </c>
      <c r="Z31" s="1">
        <f>1+1</f>
        <v>2</v>
      </c>
      <c r="AA31" s="1">
        <v>0</v>
      </c>
      <c r="AB31" s="1">
        <v>0</v>
      </c>
      <c r="AC31" s="1">
        <v>0</v>
      </c>
      <c r="AD31" s="1">
        <v>0</v>
      </c>
      <c r="AE31" s="1"/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2">
        <f t="shared" si="0"/>
        <v>0</v>
      </c>
      <c r="BQ31" s="2">
        <f t="shared" si="1"/>
        <v>12</v>
      </c>
      <c r="BR31" s="2">
        <f t="shared" si="2"/>
        <v>5</v>
      </c>
      <c r="BU31" s="4">
        <f t="shared" si="3"/>
        <v>23</v>
      </c>
      <c r="BV31" s="4" t="s">
        <v>33</v>
      </c>
      <c r="BW31" s="4"/>
      <c r="BX31" s="4">
        <f t="shared" si="4"/>
        <v>0</v>
      </c>
      <c r="BY31" s="4">
        <f t="shared" si="5"/>
        <v>0</v>
      </c>
      <c r="BZ31" s="4">
        <v>40</v>
      </c>
      <c r="CA31" s="4">
        <f t="shared" si="6"/>
        <v>12</v>
      </c>
      <c r="CB31" s="4">
        <f t="shared" si="7"/>
        <v>480</v>
      </c>
      <c r="CC31" s="4">
        <f t="shared" si="8"/>
        <v>5</v>
      </c>
      <c r="CD31" s="9">
        <f t="shared" si="9"/>
        <v>200</v>
      </c>
      <c r="CE31" s="9"/>
    </row>
    <row r="32" spans="1:83" x14ac:dyDescent="0.25">
      <c r="A32" s="9">
        <v>24</v>
      </c>
      <c r="B32" s="1" t="s">
        <v>34</v>
      </c>
      <c r="C32" s="1">
        <v>40</v>
      </c>
      <c r="D32" s="1">
        <v>15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  <c r="L32" s="1">
        <f>2+1+1</f>
        <v>4</v>
      </c>
      <c r="M32" s="1">
        <v>0</v>
      </c>
      <c r="N32" s="1">
        <f>1+1+1+1+1+1</f>
        <v>6</v>
      </c>
      <c r="O32" s="1">
        <v>0</v>
      </c>
      <c r="P32" s="1">
        <v>1</v>
      </c>
      <c r="Q32" s="1">
        <v>10</v>
      </c>
      <c r="R32" s="1">
        <f>1+1+1</f>
        <v>3</v>
      </c>
      <c r="S32" s="1">
        <v>0</v>
      </c>
      <c r="T32" s="1">
        <f>1+1+1+1</f>
        <v>4</v>
      </c>
      <c r="U32" s="1">
        <v>0</v>
      </c>
      <c r="V32" s="1">
        <f>1+1</f>
        <v>2</v>
      </c>
      <c r="W32" s="1">
        <v>0</v>
      </c>
      <c r="X32" s="1">
        <v>2</v>
      </c>
      <c r="Y32" s="1">
        <v>0</v>
      </c>
      <c r="Z32" s="1">
        <f>1+1</f>
        <v>2</v>
      </c>
      <c r="AA32" s="1">
        <v>0</v>
      </c>
      <c r="AB32" s="1">
        <v>0</v>
      </c>
      <c r="AC32" s="1">
        <v>12</v>
      </c>
      <c r="AD32" s="1">
        <v>0</v>
      </c>
      <c r="AE32" s="1">
        <f>AC32*BW32</f>
        <v>384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2">
        <f t="shared" si="0"/>
        <v>22</v>
      </c>
      <c r="BQ32" s="2">
        <f t="shared" si="1"/>
        <v>25</v>
      </c>
      <c r="BR32" s="2">
        <f t="shared" si="2"/>
        <v>12</v>
      </c>
      <c r="BU32" s="4">
        <f t="shared" si="3"/>
        <v>24</v>
      </c>
      <c r="BV32" s="4" t="s">
        <v>34</v>
      </c>
      <c r="BW32" s="4">
        <v>32</v>
      </c>
      <c r="BX32" s="4">
        <f t="shared" si="4"/>
        <v>22</v>
      </c>
      <c r="BY32" s="4">
        <f t="shared" si="5"/>
        <v>704</v>
      </c>
      <c r="BZ32" s="4">
        <v>40</v>
      </c>
      <c r="CA32" s="4">
        <f t="shared" si="6"/>
        <v>25</v>
      </c>
      <c r="CB32" s="4">
        <f t="shared" si="7"/>
        <v>1000</v>
      </c>
      <c r="CC32" s="4">
        <f t="shared" si="8"/>
        <v>12</v>
      </c>
      <c r="CD32" s="9">
        <f t="shared" si="9"/>
        <v>480</v>
      </c>
      <c r="CE32" s="9"/>
    </row>
    <row r="33" spans="1:83" x14ac:dyDescent="0.25">
      <c r="A33" s="9">
        <v>25</v>
      </c>
      <c r="B33" s="1" t="s">
        <v>35</v>
      </c>
      <c r="C33" s="1">
        <v>115</v>
      </c>
      <c r="D33" s="1">
        <v>6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/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2">
        <f t="shared" si="0"/>
        <v>0</v>
      </c>
      <c r="BQ33" s="2">
        <f t="shared" si="1"/>
        <v>1</v>
      </c>
      <c r="BR33" s="2">
        <f t="shared" si="2"/>
        <v>5</v>
      </c>
      <c r="BU33" s="4">
        <f t="shared" si="3"/>
        <v>25</v>
      </c>
      <c r="BV33" s="4" t="s">
        <v>35</v>
      </c>
      <c r="BW33" s="4"/>
      <c r="BX33" s="4">
        <f t="shared" si="4"/>
        <v>0</v>
      </c>
      <c r="BY33" s="4">
        <f t="shared" si="5"/>
        <v>0</v>
      </c>
      <c r="BZ33" s="4">
        <v>115</v>
      </c>
      <c r="CA33" s="4">
        <f t="shared" si="6"/>
        <v>1</v>
      </c>
      <c r="CB33" s="4">
        <f t="shared" si="7"/>
        <v>115</v>
      </c>
      <c r="CC33" s="4">
        <f t="shared" si="8"/>
        <v>5</v>
      </c>
      <c r="CD33" s="9">
        <f t="shared" si="9"/>
        <v>575</v>
      </c>
      <c r="CE33" s="9"/>
    </row>
    <row r="34" spans="1:83" x14ac:dyDescent="0.25">
      <c r="A34" s="9">
        <v>26</v>
      </c>
      <c r="B34" s="1" t="s">
        <v>36</v>
      </c>
      <c r="C34" s="1">
        <v>115</v>
      </c>
      <c r="D34" s="1">
        <v>8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/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2">
        <f t="shared" si="0"/>
        <v>0</v>
      </c>
      <c r="BQ34" s="2">
        <f t="shared" si="1"/>
        <v>1</v>
      </c>
      <c r="BR34" s="2">
        <f t="shared" si="2"/>
        <v>7</v>
      </c>
      <c r="BU34" s="4">
        <f t="shared" si="3"/>
        <v>26</v>
      </c>
      <c r="BV34" s="4" t="s">
        <v>36</v>
      </c>
      <c r="BW34" s="4"/>
      <c r="BX34" s="4">
        <f t="shared" si="4"/>
        <v>0</v>
      </c>
      <c r="BY34" s="4">
        <f t="shared" si="5"/>
        <v>0</v>
      </c>
      <c r="BZ34" s="4">
        <v>115</v>
      </c>
      <c r="CA34" s="4">
        <f t="shared" si="6"/>
        <v>1</v>
      </c>
      <c r="CB34" s="4">
        <f t="shared" si="7"/>
        <v>115</v>
      </c>
      <c r="CC34" s="4">
        <f t="shared" si="8"/>
        <v>7</v>
      </c>
      <c r="CD34" s="9">
        <f t="shared" si="9"/>
        <v>805</v>
      </c>
      <c r="CE34" s="9"/>
    </row>
    <row r="35" spans="1:83" x14ac:dyDescent="0.25">
      <c r="A35" s="9">
        <v>27</v>
      </c>
      <c r="B35" s="1" t="s">
        <v>37</v>
      </c>
      <c r="C35" s="1">
        <v>25</v>
      </c>
      <c r="D35" s="1">
        <v>19</v>
      </c>
      <c r="E35" s="1">
        <v>0</v>
      </c>
      <c r="F35" s="1">
        <v>2</v>
      </c>
      <c r="G35" s="1">
        <v>0</v>
      </c>
      <c r="H35" s="1">
        <v>1</v>
      </c>
      <c r="I35" s="1">
        <v>0</v>
      </c>
      <c r="J35" s="1">
        <v>3</v>
      </c>
      <c r="K35" s="1">
        <v>0</v>
      </c>
      <c r="L35" s="1">
        <f>2+2+1</f>
        <v>5</v>
      </c>
      <c r="M35" s="1">
        <v>24</v>
      </c>
      <c r="N35" s="1">
        <f>1+1+1</f>
        <v>3</v>
      </c>
      <c r="O35" s="1">
        <v>0</v>
      </c>
      <c r="P35" s="1">
        <v>2</v>
      </c>
      <c r="Q35" s="1">
        <v>0</v>
      </c>
      <c r="R35" s="1">
        <v>1</v>
      </c>
      <c r="S35" s="1">
        <v>407</v>
      </c>
      <c r="T35" s="1">
        <v>0</v>
      </c>
      <c r="U35" s="1">
        <v>7</v>
      </c>
      <c r="V35" s="1">
        <v>31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3</v>
      </c>
      <c r="AC35" s="1">
        <v>0</v>
      </c>
      <c r="AD35" s="1">
        <v>0</v>
      </c>
      <c r="AE35" s="1"/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2">
        <f t="shared" si="0"/>
        <v>438</v>
      </c>
      <c r="BQ35" s="2">
        <f t="shared" si="1"/>
        <v>51</v>
      </c>
      <c r="BR35" s="2">
        <f t="shared" si="2"/>
        <v>406</v>
      </c>
      <c r="BU35" s="4">
        <f t="shared" si="3"/>
        <v>27</v>
      </c>
      <c r="BV35" s="4" t="s">
        <v>37</v>
      </c>
      <c r="BW35" s="4">
        <v>20</v>
      </c>
      <c r="BX35" s="4">
        <f t="shared" si="4"/>
        <v>438</v>
      </c>
      <c r="BY35" s="4">
        <f t="shared" si="5"/>
        <v>8760</v>
      </c>
      <c r="BZ35" s="4">
        <v>25</v>
      </c>
      <c r="CA35" s="4">
        <f t="shared" si="6"/>
        <v>51</v>
      </c>
      <c r="CB35" s="4">
        <f t="shared" si="7"/>
        <v>1275</v>
      </c>
      <c r="CC35" s="4">
        <f t="shared" si="8"/>
        <v>406</v>
      </c>
      <c r="CD35" s="9">
        <f t="shared" si="9"/>
        <v>10150</v>
      </c>
      <c r="CE35" s="9" t="s">
        <v>60</v>
      </c>
    </row>
    <row r="36" spans="1:83" x14ac:dyDescent="0.25">
      <c r="A36" s="9">
        <v>28</v>
      </c>
      <c r="B36" s="1" t="s">
        <v>38</v>
      </c>
      <c r="C36" s="1">
        <v>10</v>
      </c>
      <c r="D36" s="1">
        <v>36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f>2+3</f>
        <v>5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3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/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2">
        <f t="shared" si="0"/>
        <v>0</v>
      </c>
      <c r="BQ36" s="2">
        <f t="shared" si="1"/>
        <v>9</v>
      </c>
      <c r="BR36" s="2">
        <f t="shared" si="2"/>
        <v>27</v>
      </c>
      <c r="BU36" s="4">
        <f t="shared" si="3"/>
        <v>28</v>
      </c>
      <c r="BV36" s="4" t="s">
        <v>38</v>
      </c>
      <c r="BW36" s="4"/>
      <c r="BX36" s="4">
        <f t="shared" si="4"/>
        <v>0</v>
      </c>
      <c r="BY36" s="4">
        <f t="shared" si="5"/>
        <v>0</v>
      </c>
      <c r="BZ36" s="4">
        <v>10</v>
      </c>
      <c r="CA36" s="4">
        <f t="shared" si="6"/>
        <v>9</v>
      </c>
      <c r="CB36" s="4">
        <f t="shared" si="7"/>
        <v>90</v>
      </c>
      <c r="CC36" s="4">
        <f t="shared" si="8"/>
        <v>27</v>
      </c>
      <c r="CD36" s="9">
        <f t="shared" si="9"/>
        <v>270</v>
      </c>
      <c r="CE36" s="9"/>
    </row>
    <row r="37" spans="1:83" x14ac:dyDescent="0.25">
      <c r="A37" s="9">
        <v>29</v>
      </c>
      <c r="B37" s="1" t="s">
        <v>40</v>
      </c>
      <c r="C37" s="1">
        <v>115</v>
      </c>
      <c r="D37" s="1">
        <v>10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>
        <v>0</v>
      </c>
      <c r="R37" s="1">
        <v>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2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/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2">
        <f t="shared" si="0"/>
        <v>0</v>
      </c>
      <c r="BQ37" s="2">
        <f t="shared" si="1"/>
        <v>5</v>
      </c>
      <c r="BR37" s="2">
        <f t="shared" si="2"/>
        <v>5</v>
      </c>
      <c r="BU37" s="4">
        <f t="shared" si="3"/>
        <v>29</v>
      </c>
      <c r="BV37" s="4" t="s">
        <v>40</v>
      </c>
      <c r="BW37" s="4"/>
      <c r="BX37" s="4">
        <f t="shared" si="4"/>
        <v>0</v>
      </c>
      <c r="BY37" s="4">
        <f t="shared" si="5"/>
        <v>0</v>
      </c>
      <c r="BZ37" s="4">
        <v>115</v>
      </c>
      <c r="CA37" s="4">
        <f t="shared" ref="CA37:CA51" si="12">BQ37</f>
        <v>5</v>
      </c>
      <c r="CB37" s="4">
        <f t="shared" si="7"/>
        <v>575</v>
      </c>
      <c r="CC37" s="4">
        <f t="shared" ref="CC37:CC60" si="13">BR37</f>
        <v>5</v>
      </c>
      <c r="CD37" s="9">
        <f t="shared" si="9"/>
        <v>575</v>
      </c>
      <c r="CE37" s="9"/>
    </row>
    <row r="38" spans="1:83" x14ac:dyDescent="0.25">
      <c r="A38" s="9">
        <v>30</v>
      </c>
      <c r="B38" s="1" t="s">
        <v>41</v>
      </c>
      <c r="C38" s="1">
        <v>240</v>
      </c>
      <c r="D38" s="1">
        <v>4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/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2">
        <f t="shared" si="0"/>
        <v>0</v>
      </c>
      <c r="BQ38" s="2">
        <f t="shared" si="1"/>
        <v>0</v>
      </c>
      <c r="BR38" s="2">
        <f t="shared" si="2"/>
        <v>4</v>
      </c>
      <c r="BU38" s="4">
        <f t="shared" si="3"/>
        <v>30</v>
      </c>
      <c r="BV38" s="4" t="s">
        <v>41</v>
      </c>
      <c r="BW38" s="4"/>
      <c r="BX38" s="4">
        <f t="shared" si="4"/>
        <v>0</v>
      </c>
      <c r="BY38" s="4">
        <f t="shared" si="5"/>
        <v>0</v>
      </c>
      <c r="BZ38" s="4">
        <v>240</v>
      </c>
      <c r="CA38" s="4">
        <f t="shared" si="12"/>
        <v>0</v>
      </c>
      <c r="CB38" s="4">
        <f t="shared" si="7"/>
        <v>0</v>
      </c>
      <c r="CC38" s="4">
        <f t="shared" si="13"/>
        <v>4</v>
      </c>
      <c r="CD38" s="9">
        <f t="shared" si="9"/>
        <v>960</v>
      </c>
      <c r="CE38" s="9"/>
    </row>
    <row r="39" spans="1:83" x14ac:dyDescent="0.25">
      <c r="A39" s="9">
        <v>31</v>
      </c>
      <c r="B39" s="1" t="s">
        <v>42</v>
      </c>
      <c r="C39" s="1">
        <v>170</v>
      </c>
      <c r="D39" s="1">
        <v>4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/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2">
        <f t="shared" si="0"/>
        <v>0</v>
      </c>
      <c r="BQ39" s="2">
        <f t="shared" si="1"/>
        <v>0</v>
      </c>
      <c r="BR39" s="2">
        <f t="shared" si="2"/>
        <v>4</v>
      </c>
      <c r="BU39" s="4">
        <f t="shared" si="3"/>
        <v>31</v>
      </c>
      <c r="BV39" s="4" t="s">
        <v>42</v>
      </c>
      <c r="BW39" s="4"/>
      <c r="BX39" s="4">
        <f t="shared" si="4"/>
        <v>0</v>
      </c>
      <c r="BY39" s="4">
        <f t="shared" si="5"/>
        <v>0</v>
      </c>
      <c r="BZ39" s="4">
        <v>170</v>
      </c>
      <c r="CA39" s="4">
        <f t="shared" si="12"/>
        <v>0</v>
      </c>
      <c r="CB39" s="4">
        <f t="shared" si="7"/>
        <v>0</v>
      </c>
      <c r="CC39" s="4">
        <f t="shared" si="13"/>
        <v>4</v>
      </c>
      <c r="CD39" s="9">
        <f t="shared" si="9"/>
        <v>680</v>
      </c>
      <c r="CE39" s="9"/>
    </row>
    <row r="40" spans="1:83" x14ac:dyDescent="0.25">
      <c r="A40" s="9">
        <v>32</v>
      </c>
      <c r="B40" s="1" t="s">
        <v>45</v>
      </c>
      <c r="C40" s="1">
        <v>380</v>
      </c>
      <c r="D40" s="1">
        <v>4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/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2">
        <f t="shared" si="0"/>
        <v>0</v>
      </c>
      <c r="BQ40" s="2">
        <f t="shared" si="1"/>
        <v>0</v>
      </c>
      <c r="BR40" s="2">
        <f t="shared" si="2"/>
        <v>4</v>
      </c>
      <c r="BU40" s="4">
        <f t="shared" si="3"/>
        <v>32</v>
      </c>
      <c r="BV40" s="4" t="s">
        <v>45</v>
      </c>
      <c r="BW40" s="4"/>
      <c r="BX40" s="4">
        <f t="shared" si="4"/>
        <v>0</v>
      </c>
      <c r="BY40" s="4">
        <f t="shared" si="5"/>
        <v>0</v>
      </c>
      <c r="BZ40" s="4">
        <v>380</v>
      </c>
      <c r="CA40" s="4">
        <f t="shared" si="12"/>
        <v>0</v>
      </c>
      <c r="CB40" s="4">
        <f t="shared" si="7"/>
        <v>0</v>
      </c>
      <c r="CC40" s="4">
        <f t="shared" si="13"/>
        <v>4</v>
      </c>
      <c r="CD40" s="9">
        <f t="shared" si="9"/>
        <v>1520</v>
      </c>
      <c r="CE40" s="9"/>
    </row>
    <row r="41" spans="1:83" x14ac:dyDescent="0.25">
      <c r="A41" s="9">
        <v>33</v>
      </c>
      <c r="B41" s="1" t="s">
        <v>46</v>
      </c>
      <c r="C41" s="1">
        <v>240</v>
      </c>
      <c r="D41" s="1">
        <v>4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/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2">
        <f t="shared" si="0"/>
        <v>0</v>
      </c>
      <c r="BQ41" s="2">
        <f t="shared" si="1"/>
        <v>1</v>
      </c>
      <c r="BR41" s="2">
        <f t="shared" si="2"/>
        <v>3</v>
      </c>
      <c r="BU41" s="4">
        <f t="shared" si="3"/>
        <v>33</v>
      </c>
      <c r="BV41" s="4" t="s">
        <v>46</v>
      </c>
      <c r="BW41" s="4"/>
      <c r="BX41" s="4">
        <f t="shared" si="4"/>
        <v>0</v>
      </c>
      <c r="BY41" s="4">
        <f t="shared" si="5"/>
        <v>0</v>
      </c>
      <c r="BZ41" s="4">
        <v>240</v>
      </c>
      <c r="CA41" s="4">
        <f t="shared" si="12"/>
        <v>1</v>
      </c>
      <c r="CB41" s="4">
        <f t="shared" si="7"/>
        <v>240</v>
      </c>
      <c r="CC41" s="4">
        <f t="shared" si="13"/>
        <v>3</v>
      </c>
      <c r="CD41" s="9">
        <f t="shared" si="9"/>
        <v>720</v>
      </c>
      <c r="CE41" s="9"/>
    </row>
    <row r="42" spans="1:83" x14ac:dyDescent="0.25">
      <c r="A42" s="9">
        <v>34</v>
      </c>
      <c r="B42" s="1" t="s">
        <v>47</v>
      </c>
      <c r="C42" s="1">
        <v>480</v>
      </c>
      <c r="D42" s="1">
        <v>4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/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2">
        <f t="shared" si="0"/>
        <v>0</v>
      </c>
      <c r="BQ42" s="2">
        <f t="shared" si="1"/>
        <v>0</v>
      </c>
      <c r="BR42" s="2">
        <f t="shared" si="2"/>
        <v>4</v>
      </c>
      <c r="BU42" s="4">
        <f t="shared" si="3"/>
        <v>34</v>
      </c>
      <c r="BV42" s="4" t="s">
        <v>47</v>
      </c>
      <c r="BW42" s="4"/>
      <c r="BX42" s="4">
        <f t="shared" si="4"/>
        <v>0</v>
      </c>
      <c r="BY42" s="4">
        <f t="shared" si="5"/>
        <v>0</v>
      </c>
      <c r="BZ42" s="4">
        <v>480</v>
      </c>
      <c r="CA42" s="4">
        <f t="shared" si="12"/>
        <v>0</v>
      </c>
      <c r="CB42" s="4">
        <f t="shared" si="7"/>
        <v>0</v>
      </c>
      <c r="CC42" s="4">
        <f t="shared" si="13"/>
        <v>4</v>
      </c>
      <c r="CD42" s="9">
        <f t="shared" si="9"/>
        <v>1920</v>
      </c>
      <c r="CE42" s="9"/>
    </row>
    <row r="43" spans="1:83" x14ac:dyDescent="0.25">
      <c r="A43" s="9">
        <v>35</v>
      </c>
      <c r="B43" s="1" t="s">
        <v>48</v>
      </c>
      <c r="C43" s="1">
        <v>480</v>
      </c>
      <c r="D43" s="1">
        <v>4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/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2">
        <f t="shared" si="0"/>
        <v>0</v>
      </c>
      <c r="BQ43" s="2">
        <f t="shared" si="1"/>
        <v>0</v>
      </c>
      <c r="BR43" s="2">
        <f t="shared" si="2"/>
        <v>4</v>
      </c>
      <c r="BU43" s="4">
        <f t="shared" si="3"/>
        <v>35</v>
      </c>
      <c r="BV43" s="4" t="s">
        <v>48</v>
      </c>
      <c r="BW43" s="4"/>
      <c r="BX43" s="4">
        <f t="shared" si="4"/>
        <v>0</v>
      </c>
      <c r="BY43" s="4">
        <f t="shared" si="5"/>
        <v>0</v>
      </c>
      <c r="BZ43" s="4">
        <v>480</v>
      </c>
      <c r="CA43" s="4">
        <f t="shared" si="12"/>
        <v>0</v>
      </c>
      <c r="CB43" s="4">
        <f t="shared" si="7"/>
        <v>0</v>
      </c>
      <c r="CC43" s="4">
        <f t="shared" si="13"/>
        <v>4</v>
      </c>
      <c r="CD43" s="9">
        <f t="shared" si="9"/>
        <v>1920</v>
      </c>
      <c r="CE43" s="9"/>
    </row>
    <row r="44" spans="1:83" x14ac:dyDescent="0.25">
      <c r="A44" s="9">
        <v>36</v>
      </c>
      <c r="B44" s="1" t="s">
        <v>49</v>
      </c>
      <c r="C44" s="1">
        <v>200</v>
      </c>
      <c r="D44" s="1">
        <v>4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f>1+1</f>
        <v>2</v>
      </c>
      <c r="AA44" s="1">
        <v>0</v>
      </c>
      <c r="AB44" s="1">
        <v>0</v>
      </c>
      <c r="AC44" s="1">
        <v>0</v>
      </c>
      <c r="AD44" s="1">
        <v>0</v>
      </c>
      <c r="AE44" s="1"/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2">
        <f t="shared" si="0"/>
        <v>0</v>
      </c>
      <c r="BQ44" s="2">
        <f t="shared" si="1"/>
        <v>2</v>
      </c>
      <c r="BR44" s="2">
        <f t="shared" si="2"/>
        <v>2</v>
      </c>
      <c r="BU44" s="4">
        <f t="shared" si="3"/>
        <v>36</v>
      </c>
      <c r="BV44" s="4" t="s">
        <v>49</v>
      </c>
      <c r="BW44" s="4"/>
      <c r="BX44" s="4">
        <f t="shared" si="4"/>
        <v>0</v>
      </c>
      <c r="BY44" s="4">
        <f t="shared" si="5"/>
        <v>0</v>
      </c>
      <c r="BZ44" s="4">
        <v>200</v>
      </c>
      <c r="CA44" s="4">
        <f t="shared" si="12"/>
        <v>2</v>
      </c>
      <c r="CB44" s="4">
        <f t="shared" si="7"/>
        <v>400</v>
      </c>
      <c r="CC44" s="4">
        <f t="shared" si="13"/>
        <v>2</v>
      </c>
      <c r="CD44" s="9">
        <f t="shared" si="9"/>
        <v>400</v>
      </c>
      <c r="CE44" s="9"/>
    </row>
    <row r="45" spans="1:83" x14ac:dyDescent="0.25">
      <c r="A45" s="9">
        <v>37</v>
      </c>
      <c r="B45" s="1" t="s">
        <v>50</v>
      </c>
      <c r="C45" s="1">
        <v>57</v>
      </c>
      <c r="D45" s="1">
        <v>4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/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2">
        <f t="shared" si="0"/>
        <v>0</v>
      </c>
      <c r="BQ45" s="2">
        <f t="shared" si="1"/>
        <v>0</v>
      </c>
      <c r="BR45" s="2">
        <f t="shared" si="2"/>
        <v>4</v>
      </c>
      <c r="BU45" s="4">
        <f t="shared" si="3"/>
        <v>37</v>
      </c>
      <c r="BV45" s="4" t="s">
        <v>50</v>
      </c>
      <c r="BW45" s="4"/>
      <c r="BX45" s="4">
        <f t="shared" si="4"/>
        <v>0</v>
      </c>
      <c r="BY45" s="4">
        <f t="shared" si="5"/>
        <v>0</v>
      </c>
      <c r="BZ45" s="4">
        <v>57</v>
      </c>
      <c r="CA45" s="4">
        <f t="shared" si="12"/>
        <v>0</v>
      </c>
      <c r="CB45" s="4">
        <f t="shared" si="7"/>
        <v>0</v>
      </c>
      <c r="CC45" s="18">
        <f t="shared" si="13"/>
        <v>4</v>
      </c>
      <c r="CD45" s="9">
        <f t="shared" si="9"/>
        <v>228</v>
      </c>
      <c r="CE45" s="9"/>
    </row>
    <row r="46" spans="1:83" x14ac:dyDescent="0.25">
      <c r="A46" s="9">
        <v>38</v>
      </c>
      <c r="B46" s="1" t="s">
        <v>51</v>
      </c>
      <c r="C46" s="1">
        <v>57</v>
      </c>
      <c r="D46" s="1">
        <v>2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/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2">
        <f t="shared" si="0"/>
        <v>0</v>
      </c>
      <c r="BQ46" s="2">
        <f t="shared" si="1"/>
        <v>0</v>
      </c>
      <c r="BR46" s="2">
        <f t="shared" si="2"/>
        <v>2</v>
      </c>
      <c r="BU46" s="4">
        <f t="shared" si="3"/>
        <v>38</v>
      </c>
      <c r="BV46" s="4" t="s">
        <v>51</v>
      </c>
      <c r="BW46" s="4"/>
      <c r="BX46" s="4">
        <f t="shared" si="4"/>
        <v>0</v>
      </c>
      <c r="BY46" s="4">
        <f t="shared" si="5"/>
        <v>0</v>
      </c>
      <c r="BZ46" s="4">
        <v>57</v>
      </c>
      <c r="CA46" s="4">
        <f t="shared" si="12"/>
        <v>0</v>
      </c>
      <c r="CB46" s="4">
        <f t="shared" si="7"/>
        <v>0</v>
      </c>
      <c r="CC46" s="18">
        <f t="shared" si="13"/>
        <v>2</v>
      </c>
      <c r="CD46" s="9">
        <f t="shared" si="9"/>
        <v>114</v>
      </c>
      <c r="CE46" s="9"/>
    </row>
    <row r="47" spans="1:83" x14ac:dyDescent="0.25">
      <c r="A47" s="9">
        <v>39</v>
      </c>
      <c r="B47" s="1" t="s">
        <v>52</v>
      </c>
      <c r="C47" s="1">
        <v>70</v>
      </c>
      <c r="D47" s="1">
        <v>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/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2">
        <f t="shared" si="0"/>
        <v>0</v>
      </c>
      <c r="BQ47" s="2">
        <f t="shared" si="1"/>
        <v>0</v>
      </c>
      <c r="BR47" s="2">
        <f t="shared" si="2"/>
        <v>2</v>
      </c>
      <c r="BU47" s="4">
        <f t="shared" si="3"/>
        <v>39</v>
      </c>
      <c r="BV47" s="4" t="s">
        <v>52</v>
      </c>
      <c r="BW47" s="4"/>
      <c r="BX47" s="4">
        <f t="shared" si="4"/>
        <v>0</v>
      </c>
      <c r="BY47" s="4">
        <f t="shared" si="5"/>
        <v>0</v>
      </c>
      <c r="BZ47" s="4">
        <v>70</v>
      </c>
      <c r="CA47" s="4">
        <f t="shared" si="12"/>
        <v>0</v>
      </c>
      <c r="CB47" s="4">
        <f t="shared" si="7"/>
        <v>0</v>
      </c>
      <c r="CC47" s="18">
        <f t="shared" si="13"/>
        <v>2</v>
      </c>
      <c r="CD47" s="9">
        <f t="shared" si="9"/>
        <v>140</v>
      </c>
      <c r="CE47" s="9"/>
    </row>
    <row r="48" spans="1:83" x14ac:dyDescent="0.25">
      <c r="A48" s="9">
        <v>40</v>
      </c>
      <c r="B48" s="1" t="s">
        <v>53</v>
      </c>
      <c r="C48" s="1">
        <v>80</v>
      </c>
      <c r="D48" s="1">
        <v>2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/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2">
        <f t="shared" si="0"/>
        <v>0</v>
      </c>
      <c r="BQ48" s="2">
        <f t="shared" si="1"/>
        <v>0</v>
      </c>
      <c r="BR48" s="2">
        <f t="shared" si="2"/>
        <v>2</v>
      </c>
      <c r="BU48" s="4">
        <f t="shared" si="3"/>
        <v>40</v>
      </c>
      <c r="BV48" s="4" t="s">
        <v>53</v>
      </c>
      <c r="BW48" s="4"/>
      <c r="BX48" s="4">
        <f t="shared" si="4"/>
        <v>0</v>
      </c>
      <c r="BY48" s="4">
        <f t="shared" si="5"/>
        <v>0</v>
      </c>
      <c r="BZ48" s="4">
        <v>80</v>
      </c>
      <c r="CA48" s="4">
        <f t="shared" si="12"/>
        <v>0</v>
      </c>
      <c r="CB48" s="4">
        <f t="shared" si="7"/>
        <v>0</v>
      </c>
      <c r="CC48" s="18">
        <f t="shared" si="13"/>
        <v>2</v>
      </c>
      <c r="CD48" s="9">
        <f t="shared" si="9"/>
        <v>160</v>
      </c>
      <c r="CE48" s="9"/>
    </row>
    <row r="49" spans="1:83" x14ac:dyDescent="0.25">
      <c r="A49" s="9">
        <v>41</v>
      </c>
      <c r="B49" s="1" t="s">
        <v>10</v>
      </c>
      <c r="C49" s="1">
        <v>30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1</v>
      </c>
      <c r="AD49" s="1">
        <v>0</v>
      </c>
      <c r="AE49" s="1">
        <f t="shared" ref="AE49:AE62" si="14">AC49*BW49</f>
        <v>25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2">
        <f t="shared" si="0"/>
        <v>1</v>
      </c>
      <c r="BQ49" s="2">
        <f t="shared" si="1"/>
        <v>0</v>
      </c>
      <c r="BR49" s="2">
        <f t="shared" si="2"/>
        <v>1</v>
      </c>
      <c r="BU49" s="4">
        <f t="shared" si="3"/>
        <v>41</v>
      </c>
      <c r="BV49" s="4" t="str">
        <f t="shared" ref="BV49:BV63" si="15">B49</f>
        <v>Lay'S Chips Green</v>
      </c>
      <c r="BW49" s="4">
        <v>25</v>
      </c>
      <c r="BX49" s="4">
        <f t="shared" si="4"/>
        <v>1</v>
      </c>
      <c r="BY49" s="4">
        <f t="shared" si="5"/>
        <v>25</v>
      </c>
      <c r="BZ49" s="4">
        <v>30</v>
      </c>
      <c r="CA49" s="4">
        <f t="shared" si="12"/>
        <v>0</v>
      </c>
      <c r="CB49" s="4">
        <f t="shared" si="7"/>
        <v>0</v>
      </c>
      <c r="CC49" s="18">
        <f t="shared" si="13"/>
        <v>1</v>
      </c>
      <c r="CD49" s="9">
        <f t="shared" si="9"/>
        <v>30</v>
      </c>
      <c r="CE49" s="9"/>
    </row>
    <row r="50" spans="1:83" x14ac:dyDescent="0.25">
      <c r="A50" s="9">
        <v>42</v>
      </c>
      <c r="B50" s="1" t="s">
        <v>74</v>
      </c>
      <c r="C50" s="1">
        <v>45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5</v>
      </c>
      <c r="AD50" s="1">
        <v>0</v>
      </c>
      <c r="AE50" s="1">
        <f t="shared" si="14"/>
        <v>165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2">
        <f t="shared" si="0"/>
        <v>5</v>
      </c>
      <c r="BQ50" s="2">
        <f t="shared" si="1"/>
        <v>0</v>
      </c>
      <c r="BR50" s="2">
        <f t="shared" si="2"/>
        <v>5</v>
      </c>
      <c r="BU50" s="4">
        <f t="shared" si="3"/>
        <v>42</v>
      </c>
      <c r="BV50" s="4" t="str">
        <f t="shared" si="15"/>
        <v>To Yummy Chips ( Spicy  Chili)</v>
      </c>
      <c r="BW50" s="4">
        <v>33</v>
      </c>
      <c r="BX50" s="4">
        <f t="shared" si="4"/>
        <v>5</v>
      </c>
      <c r="BY50" s="4">
        <f t="shared" si="5"/>
        <v>165</v>
      </c>
      <c r="BZ50" s="4">
        <v>45</v>
      </c>
      <c r="CA50" s="4">
        <f t="shared" si="12"/>
        <v>0</v>
      </c>
      <c r="CB50" s="4">
        <f t="shared" si="7"/>
        <v>0</v>
      </c>
      <c r="CC50" s="18">
        <f t="shared" si="13"/>
        <v>5</v>
      </c>
      <c r="CD50" s="9">
        <f t="shared" si="9"/>
        <v>225</v>
      </c>
      <c r="CE50" s="9"/>
    </row>
    <row r="51" spans="1:83" x14ac:dyDescent="0.25">
      <c r="A51" s="9">
        <v>43</v>
      </c>
      <c r="B51" s="1" t="s">
        <v>75</v>
      </c>
      <c r="C51" s="1">
        <v>40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2</v>
      </c>
      <c r="AD51" s="1">
        <v>0</v>
      </c>
      <c r="AE51" s="1">
        <f t="shared" si="14"/>
        <v>56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2">
        <f t="shared" si="0"/>
        <v>2</v>
      </c>
      <c r="BQ51" s="2">
        <f t="shared" si="1"/>
        <v>0</v>
      </c>
      <c r="BR51" s="2">
        <f t="shared" si="2"/>
        <v>2</v>
      </c>
      <c r="BU51" s="4">
        <f t="shared" si="3"/>
        <v>43</v>
      </c>
      <c r="BV51" s="4" t="str">
        <f t="shared" si="15"/>
        <v>Cavin's Chocolate Milkshake</v>
      </c>
      <c r="BW51" s="4">
        <v>28</v>
      </c>
      <c r="BX51" s="4">
        <f t="shared" si="4"/>
        <v>2</v>
      </c>
      <c r="BY51" s="4">
        <f t="shared" si="5"/>
        <v>56</v>
      </c>
      <c r="BZ51" s="4">
        <v>40</v>
      </c>
      <c r="CA51" s="4">
        <f t="shared" si="12"/>
        <v>0</v>
      </c>
      <c r="CB51" s="4">
        <f t="shared" si="7"/>
        <v>0</v>
      </c>
      <c r="CC51" s="18">
        <f t="shared" si="13"/>
        <v>2</v>
      </c>
      <c r="CD51" s="9">
        <f t="shared" si="9"/>
        <v>80</v>
      </c>
      <c r="CE51" s="9"/>
    </row>
    <row r="52" spans="1:83" x14ac:dyDescent="0.25">
      <c r="A52" s="9">
        <v>44</v>
      </c>
      <c r="B52" s="1" t="s">
        <v>76</v>
      </c>
      <c r="C52" s="1">
        <v>10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56</v>
      </c>
      <c r="AD52" s="1">
        <v>0</v>
      </c>
      <c r="AE52" s="1">
        <f t="shared" si="14"/>
        <v>504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2">
        <f t="shared" si="0"/>
        <v>56</v>
      </c>
      <c r="BQ52" s="2">
        <f t="shared" si="1"/>
        <v>0</v>
      </c>
      <c r="BR52" s="2">
        <f t="shared" si="2"/>
        <v>56</v>
      </c>
      <c r="BU52" s="4">
        <f t="shared" si="3"/>
        <v>44</v>
      </c>
      <c r="BV52" s="4" t="str">
        <f t="shared" si="15"/>
        <v>Dairy Milk Chocolate</v>
      </c>
      <c r="BW52" s="4">
        <v>9</v>
      </c>
      <c r="BX52" s="4">
        <f t="shared" si="4"/>
        <v>56</v>
      </c>
      <c r="BY52" s="4">
        <f t="shared" si="5"/>
        <v>504</v>
      </c>
      <c r="BZ52" s="4">
        <v>10</v>
      </c>
      <c r="CA52" s="4">
        <f t="shared" ref="CA52:CA57" si="16">BQ52</f>
        <v>0</v>
      </c>
      <c r="CB52" s="4">
        <f t="shared" ref="CB52:CB57" si="17">CA52*BZ52</f>
        <v>0</v>
      </c>
      <c r="CC52" s="18">
        <f t="shared" si="13"/>
        <v>56</v>
      </c>
      <c r="CD52" s="9">
        <f t="shared" si="9"/>
        <v>560</v>
      </c>
      <c r="CE52" s="9"/>
    </row>
    <row r="53" spans="1:83" x14ac:dyDescent="0.25">
      <c r="A53" s="9">
        <v>45</v>
      </c>
      <c r="B53" s="1" t="s">
        <v>77</v>
      </c>
      <c r="C53" s="1">
        <v>20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10</v>
      </c>
      <c r="AD53" s="1">
        <v>0</v>
      </c>
      <c r="AE53" s="1">
        <f t="shared" si="14"/>
        <v>160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2">
        <f t="shared" si="0"/>
        <v>10</v>
      </c>
      <c r="BQ53" s="2">
        <f t="shared" si="1"/>
        <v>0</v>
      </c>
      <c r="BR53" s="2">
        <f t="shared" si="2"/>
        <v>10</v>
      </c>
      <c r="BU53" s="4">
        <f t="shared" si="3"/>
        <v>45</v>
      </c>
      <c r="BV53" s="4" t="str">
        <f t="shared" si="15"/>
        <v>Smoodh -Chocolate</v>
      </c>
      <c r="BW53" s="4">
        <v>16</v>
      </c>
      <c r="BX53" s="4">
        <f t="shared" si="4"/>
        <v>10</v>
      </c>
      <c r="BY53" s="4">
        <f t="shared" si="5"/>
        <v>160</v>
      </c>
      <c r="BZ53" s="4">
        <v>20</v>
      </c>
      <c r="CA53" s="4">
        <f t="shared" si="16"/>
        <v>0</v>
      </c>
      <c r="CB53" s="4">
        <f t="shared" si="17"/>
        <v>0</v>
      </c>
      <c r="CC53" s="18">
        <f t="shared" si="13"/>
        <v>10</v>
      </c>
      <c r="CD53" s="9">
        <f t="shared" si="9"/>
        <v>200</v>
      </c>
      <c r="CE53" s="9"/>
    </row>
    <row r="54" spans="1:83" x14ac:dyDescent="0.25">
      <c r="A54" s="9">
        <v>46</v>
      </c>
      <c r="B54" s="1" t="s">
        <v>78</v>
      </c>
      <c r="C54" s="1">
        <v>20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7</v>
      </c>
      <c r="AD54" s="1">
        <v>0</v>
      </c>
      <c r="AE54" s="1">
        <f t="shared" si="14"/>
        <v>112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2">
        <f t="shared" si="0"/>
        <v>7</v>
      </c>
      <c r="BQ54" s="2">
        <f t="shared" si="1"/>
        <v>0</v>
      </c>
      <c r="BR54" s="2">
        <f t="shared" si="2"/>
        <v>7</v>
      </c>
      <c r="BU54" s="4">
        <f t="shared" si="3"/>
        <v>46</v>
      </c>
      <c r="BV54" s="4" t="str">
        <f t="shared" si="15"/>
        <v>Smoodh -Toffe Caramel</v>
      </c>
      <c r="BW54" s="4">
        <v>16</v>
      </c>
      <c r="BX54" s="4">
        <f t="shared" si="4"/>
        <v>7</v>
      </c>
      <c r="BY54" s="4">
        <f t="shared" si="5"/>
        <v>112</v>
      </c>
      <c r="BZ54" s="4">
        <v>20</v>
      </c>
      <c r="CA54" s="4">
        <f t="shared" si="16"/>
        <v>0</v>
      </c>
      <c r="CB54" s="4">
        <f t="shared" si="17"/>
        <v>0</v>
      </c>
      <c r="CC54" s="18">
        <f t="shared" si="13"/>
        <v>7</v>
      </c>
      <c r="CD54" s="9">
        <f t="shared" si="9"/>
        <v>140</v>
      </c>
      <c r="CE54" s="9"/>
    </row>
    <row r="55" spans="1:83" x14ac:dyDescent="0.25">
      <c r="A55" s="9">
        <v>47</v>
      </c>
      <c r="B55" s="1" t="s">
        <v>79</v>
      </c>
      <c r="C55" s="1">
        <v>20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7</v>
      </c>
      <c r="AD55" s="1">
        <v>0</v>
      </c>
      <c r="AE55" s="1">
        <f t="shared" si="14"/>
        <v>112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2">
        <f t="shared" si="0"/>
        <v>7</v>
      </c>
      <c r="BQ55" s="2">
        <f t="shared" si="1"/>
        <v>0</v>
      </c>
      <c r="BR55" s="2">
        <f t="shared" si="2"/>
        <v>7</v>
      </c>
      <c r="BU55" s="4">
        <f t="shared" si="3"/>
        <v>47</v>
      </c>
      <c r="BV55" s="4" t="str">
        <f t="shared" si="15"/>
        <v>Smoodh -Chocolate Hozel Nut</v>
      </c>
      <c r="BW55" s="4">
        <v>16</v>
      </c>
      <c r="BX55" s="4">
        <f t="shared" si="4"/>
        <v>7</v>
      </c>
      <c r="BY55" s="4">
        <f t="shared" si="5"/>
        <v>112</v>
      </c>
      <c r="BZ55" s="4">
        <v>20</v>
      </c>
      <c r="CA55" s="4">
        <f t="shared" si="16"/>
        <v>0</v>
      </c>
      <c r="CB55" s="4">
        <f t="shared" si="17"/>
        <v>0</v>
      </c>
      <c r="CC55" s="18">
        <f t="shared" si="13"/>
        <v>7</v>
      </c>
      <c r="CD55" s="9">
        <f t="shared" si="9"/>
        <v>140</v>
      </c>
      <c r="CE55" s="9"/>
    </row>
    <row r="56" spans="1:83" x14ac:dyDescent="0.25">
      <c r="A56" s="9">
        <v>48</v>
      </c>
      <c r="B56" s="1" t="s">
        <v>80</v>
      </c>
      <c r="C56" s="1">
        <v>40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20</v>
      </c>
      <c r="AD56" s="1">
        <v>0</v>
      </c>
      <c r="AE56" s="1">
        <f t="shared" si="14"/>
        <v>700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2">
        <f t="shared" si="0"/>
        <v>20</v>
      </c>
      <c r="BQ56" s="2">
        <f t="shared" si="1"/>
        <v>0</v>
      </c>
      <c r="BR56" s="2">
        <f t="shared" si="2"/>
        <v>20</v>
      </c>
      <c r="BU56" s="4">
        <f t="shared" si="3"/>
        <v>48</v>
      </c>
      <c r="BV56" s="4" t="str">
        <f t="shared" si="15"/>
        <v>Coca-Cola Zero Sugar</v>
      </c>
      <c r="BW56" s="4">
        <v>35</v>
      </c>
      <c r="BX56" s="4">
        <f t="shared" si="4"/>
        <v>20</v>
      </c>
      <c r="BY56" s="4">
        <f t="shared" si="5"/>
        <v>700</v>
      </c>
      <c r="BZ56" s="4">
        <v>40</v>
      </c>
      <c r="CA56" s="4">
        <f t="shared" si="16"/>
        <v>0</v>
      </c>
      <c r="CB56" s="4">
        <f t="shared" si="17"/>
        <v>0</v>
      </c>
      <c r="CC56" s="18">
        <f t="shared" si="13"/>
        <v>20</v>
      </c>
      <c r="CD56" s="9">
        <f t="shared" si="9"/>
        <v>800</v>
      </c>
      <c r="CE56" s="9"/>
    </row>
    <row r="57" spans="1:83" x14ac:dyDescent="0.25">
      <c r="A57" s="9">
        <v>49</v>
      </c>
      <c r="B57" s="1" t="s">
        <v>81</v>
      </c>
      <c r="C57" s="1">
        <v>20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40</v>
      </c>
      <c r="AD57" s="1">
        <v>0</v>
      </c>
      <c r="AE57" s="1">
        <f t="shared" si="14"/>
        <v>720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2">
        <f t="shared" si="0"/>
        <v>40</v>
      </c>
      <c r="BQ57" s="2">
        <f t="shared" si="1"/>
        <v>0</v>
      </c>
      <c r="BR57" s="2">
        <f t="shared" si="2"/>
        <v>40</v>
      </c>
      <c r="BU57" s="4">
        <f t="shared" si="3"/>
        <v>49</v>
      </c>
      <c r="BV57" s="4" t="str">
        <f t="shared" si="15"/>
        <v>Dairy Milk Chocolate (20.2 g)</v>
      </c>
      <c r="BW57" s="4">
        <v>18</v>
      </c>
      <c r="BX57" s="4">
        <f t="shared" si="4"/>
        <v>40</v>
      </c>
      <c r="BY57" s="4">
        <f t="shared" si="5"/>
        <v>720</v>
      </c>
      <c r="BZ57" s="4">
        <v>20</v>
      </c>
      <c r="CA57" s="4">
        <f t="shared" si="16"/>
        <v>0</v>
      </c>
      <c r="CB57" s="4">
        <f t="shared" si="17"/>
        <v>0</v>
      </c>
      <c r="CC57" s="18">
        <f t="shared" si="13"/>
        <v>40</v>
      </c>
      <c r="CD57" s="9">
        <f t="shared" si="9"/>
        <v>800</v>
      </c>
      <c r="CE57" s="9"/>
    </row>
    <row r="58" spans="1:83" x14ac:dyDescent="0.25">
      <c r="A58" s="9">
        <v>50</v>
      </c>
      <c r="B58" s="1" t="s">
        <v>82</v>
      </c>
      <c r="C58" s="1">
        <v>60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2</v>
      </c>
      <c r="AD58" s="1">
        <v>0</v>
      </c>
      <c r="AE58" s="1">
        <f t="shared" si="14"/>
        <v>90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2">
        <f t="shared" si="0"/>
        <v>2</v>
      </c>
      <c r="BQ58" s="2">
        <f t="shared" si="1"/>
        <v>0</v>
      </c>
      <c r="BR58" s="2">
        <f t="shared" si="2"/>
        <v>2</v>
      </c>
      <c r="BU58" s="4">
        <f t="shared" si="3"/>
        <v>50</v>
      </c>
      <c r="BV58" s="4" t="str">
        <f t="shared" si="15"/>
        <v xml:space="preserve">Elite Banana Pudding Cake </v>
      </c>
      <c r="BW58" s="4">
        <v>45</v>
      </c>
      <c r="BX58" s="4">
        <f t="shared" si="4"/>
        <v>2</v>
      </c>
      <c r="BY58" s="4">
        <f t="shared" si="5"/>
        <v>90</v>
      </c>
      <c r="BZ58" s="4">
        <v>60</v>
      </c>
      <c r="CA58" s="4">
        <f t="shared" ref="CA58:CA60" si="18">BQ58</f>
        <v>0</v>
      </c>
      <c r="CB58" s="4">
        <f t="shared" ref="CB58:CB60" si="19">CA58*BZ58</f>
        <v>0</v>
      </c>
      <c r="CC58" s="18">
        <f t="shared" si="13"/>
        <v>2</v>
      </c>
      <c r="CD58" s="9">
        <f t="shared" si="9"/>
        <v>120</v>
      </c>
      <c r="CE58" s="9"/>
    </row>
    <row r="59" spans="1:83" x14ac:dyDescent="0.25">
      <c r="A59" s="9">
        <v>51</v>
      </c>
      <c r="B59" s="1" t="s">
        <v>83</v>
      </c>
      <c r="C59" s="1">
        <v>60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2</v>
      </c>
      <c r="AD59" s="1">
        <v>0</v>
      </c>
      <c r="AE59" s="1">
        <f t="shared" si="14"/>
        <v>90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2">
        <f t="shared" si="0"/>
        <v>2</v>
      </c>
      <c r="BQ59" s="2">
        <f t="shared" si="1"/>
        <v>0</v>
      </c>
      <c r="BR59" s="2">
        <f t="shared" si="2"/>
        <v>2</v>
      </c>
      <c r="BU59" s="4">
        <f t="shared" si="3"/>
        <v>51</v>
      </c>
      <c r="BV59" s="4" t="str">
        <f t="shared" si="15"/>
        <v xml:space="preserve">Elite Dates Pudding Cake </v>
      </c>
      <c r="BW59" s="4">
        <v>45</v>
      </c>
      <c r="BX59" s="4">
        <f t="shared" si="4"/>
        <v>2</v>
      </c>
      <c r="BY59" s="4">
        <f t="shared" si="5"/>
        <v>90</v>
      </c>
      <c r="BZ59" s="4">
        <v>60</v>
      </c>
      <c r="CA59" s="4">
        <f t="shared" si="18"/>
        <v>0</v>
      </c>
      <c r="CB59" s="4">
        <f t="shared" si="19"/>
        <v>0</v>
      </c>
      <c r="CC59" s="18">
        <f t="shared" si="13"/>
        <v>2</v>
      </c>
      <c r="CD59" s="9">
        <f t="shared" si="9"/>
        <v>120</v>
      </c>
      <c r="CE59" s="9"/>
    </row>
    <row r="60" spans="1:83" x14ac:dyDescent="0.25">
      <c r="A60" s="9">
        <v>52</v>
      </c>
      <c r="B60" s="1" t="s">
        <v>84</v>
      </c>
      <c r="C60" s="1">
        <v>48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2</v>
      </c>
      <c r="AD60" s="1">
        <v>0</v>
      </c>
      <c r="AE60" s="1">
        <f t="shared" si="14"/>
        <v>66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2">
        <f t="shared" si="0"/>
        <v>2</v>
      </c>
      <c r="BQ60" s="2">
        <f t="shared" si="1"/>
        <v>0</v>
      </c>
      <c r="BR60" s="2">
        <f t="shared" si="2"/>
        <v>2</v>
      </c>
      <c r="BU60" s="4">
        <f t="shared" si="3"/>
        <v>52</v>
      </c>
      <c r="BV60" s="4" t="str">
        <f t="shared" si="15"/>
        <v>Uncle Chips</v>
      </c>
      <c r="BW60" s="4">
        <v>33</v>
      </c>
      <c r="BX60" s="4">
        <f t="shared" si="4"/>
        <v>2</v>
      </c>
      <c r="BY60" s="4">
        <f t="shared" si="5"/>
        <v>66</v>
      </c>
      <c r="BZ60" s="4">
        <v>48</v>
      </c>
      <c r="CA60" s="4">
        <f t="shared" si="18"/>
        <v>0</v>
      </c>
      <c r="CB60" s="4">
        <f t="shared" si="19"/>
        <v>0</v>
      </c>
      <c r="CC60" s="18">
        <f t="shared" si="13"/>
        <v>2</v>
      </c>
      <c r="CD60" s="9">
        <f t="shared" si="9"/>
        <v>96</v>
      </c>
      <c r="CE60" s="9"/>
    </row>
    <row r="61" spans="1:83" x14ac:dyDescent="0.25">
      <c r="A61" s="9">
        <v>53</v>
      </c>
      <c r="B61" s="1" t="s">
        <v>85</v>
      </c>
      <c r="C61" s="1">
        <v>60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6</v>
      </c>
      <c r="AD61" s="1">
        <v>0</v>
      </c>
      <c r="AE61" s="1">
        <f t="shared" si="14"/>
        <v>180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2">
        <f t="shared" si="0"/>
        <v>6</v>
      </c>
      <c r="BQ61" s="2">
        <f t="shared" si="1"/>
        <v>0</v>
      </c>
      <c r="BR61" s="2">
        <f t="shared" si="2"/>
        <v>6</v>
      </c>
      <c r="BU61" s="4">
        <f t="shared" si="3"/>
        <v>53</v>
      </c>
      <c r="BV61" s="4" t="str">
        <f t="shared" si="15"/>
        <v>Town Bus ( Butter Murukku)</v>
      </c>
      <c r="BW61" s="4">
        <v>30</v>
      </c>
      <c r="BX61" s="4">
        <f t="shared" si="4"/>
        <v>6</v>
      </c>
      <c r="BY61" s="4">
        <f t="shared" si="5"/>
        <v>180</v>
      </c>
      <c r="BZ61" s="4">
        <v>60</v>
      </c>
      <c r="CA61" s="4">
        <f t="shared" ref="CA61:CA63" si="20">BQ61</f>
        <v>0</v>
      </c>
      <c r="CB61" s="4">
        <f t="shared" ref="CB61:CB63" si="21">CA61*BZ61</f>
        <v>0</v>
      </c>
      <c r="CC61" s="18">
        <f t="shared" ref="CC61:CC63" si="22">BR61</f>
        <v>6</v>
      </c>
      <c r="CD61" s="9">
        <f t="shared" si="9"/>
        <v>360</v>
      </c>
      <c r="CE61" s="9"/>
    </row>
    <row r="62" spans="1:83" x14ac:dyDescent="0.25">
      <c r="A62" s="9">
        <v>54</v>
      </c>
      <c r="B62" s="1" t="s">
        <v>86</v>
      </c>
      <c r="C62" s="1">
        <v>60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8</v>
      </c>
      <c r="AD62" s="1">
        <v>0</v>
      </c>
      <c r="AE62" s="1">
        <f t="shared" si="14"/>
        <v>240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2">
        <f t="shared" si="0"/>
        <v>8</v>
      </c>
      <c r="BQ62" s="2">
        <f t="shared" si="1"/>
        <v>0</v>
      </c>
      <c r="BR62" s="2">
        <f t="shared" si="2"/>
        <v>8</v>
      </c>
      <c r="BU62" s="4">
        <f t="shared" si="3"/>
        <v>54</v>
      </c>
      <c r="BV62" s="4" t="str">
        <f t="shared" si="15"/>
        <v>Town Bus ( Madras Mixture )</v>
      </c>
      <c r="BW62" s="4">
        <v>30</v>
      </c>
      <c r="BX62" s="4">
        <f t="shared" si="4"/>
        <v>8</v>
      </c>
      <c r="BY62" s="4">
        <f t="shared" si="5"/>
        <v>240</v>
      </c>
      <c r="BZ62" s="4">
        <v>60</v>
      </c>
      <c r="CA62" s="4">
        <f t="shared" si="20"/>
        <v>0</v>
      </c>
      <c r="CB62" s="4">
        <f t="shared" si="21"/>
        <v>0</v>
      </c>
      <c r="CC62" s="18">
        <f t="shared" si="22"/>
        <v>8</v>
      </c>
      <c r="CD62" s="9">
        <f t="shared" si="9"/>
        <v>480</v>
      </c>
      <c r="CE62" s="9"/>
    </row>
    <row r="63" spans="1:83" x14ac:dyDescent="0.25">
      <c r="A63" s="9">
        <v>55</v>
      </c>
      <c r="B63" s="1"/>
      <c r="C63" s="1"/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/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2">
        <f t="shared" si="0"/>
        <v>0</v>
      </c>
      <c r="BQ63" s="2">
        <f t="shared" si="1"/>
        <v>0</v>
      </c>
      <c r="BR63" s="2">
        <f t="shared" si="2"/>
        <v>0</v>
      </c>
      <c r="BU63" s="4">
        <f t="shared" si="3"/>
        <v>55</v>
      </c>
      <c r="BV63" s="4">
        <f t="shared" si="15"/>
        <v>0</v>
      </c>
      <c r="BW63" s="4">
        <v>0</v>
      </c>
      <c r="BX63" s="4">
        <f t="shared" si="4"/>
        <v>0</v>
      </c>
      <c r="BY63" s="4">
        <f t="shared" si="5"/>
        <v>0</v>
      </c>
      <c r="BZ63" s="4">
        <v>0</v>
      </c>
      <c r="CA63" s="4">
        <f t="shared" si="20"/>
        <v>0</v>
      </c>
      <c r="CB63" s="4">
        <f t="shared" si="21"/>
        <v>0</v>
      </c>
      <c r="CC63" s="18">
        <f t="shared" si="22"/>
        <v>0</v>
      </c>
      <c r="CD63" s="9">
        <f t="shared" si="9"/>
        <v>0</v>
      </c>
      <c r="CE63" s="9"/>
    </row>
    <row r="64" spans="1:83" x14ac:dyDescent="0.25">
      <c r="A64" s="9">
        <v>56</v>
      </c>
      <c r="B64" s="1"/>
      <c r="C64" s="1"/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/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2">
        <f t="shared" si="0"/>
        <v>0</v>
      </c>
      <c r="BQ64" s="2">
        <f t="shared" si="1"/>
        <v>0</v>
      </c>
      <c r="BR64" s="2">
        <f t="shared" si="2"/>
        <v>0</v>
      </c>
      <c r="BU64" s="28" t="s">
        <v>56</v>
      </c>
      <c r="BV64" s="28"/>
      <c r="BW64" s="4"/>
      <c r="BX64" s="4">
        <f>SUBTOTAL(109,BX9:BX63)</f>
        <v>703</v>
      </c>
      <c r="BY64" s="4">
        <v>6997</v>
      </c>
      <c r="BZ64" s="4"/>
      <c r="CA64" s="4">
        <f>SUBTOTAL(109,CA9:CA63)</f>
        <v>206</v>
      </c>
      <c r="CB64" s="14">
        <f>SUBTOTAL(109,CB9:CB63)</f>
        <v>9185</v>
      </c>
      <c r="CC64" s="4">
        <f>SUBTOTAL(109,CC9:CC63)</f>
        <v>836</v>
      </c>
      <c r="CD64" s="14">
        <f>SUBTOTAL(109,CD9:CD63)</f>
        <v>35432</v>
      </c>
      <c r="CE64" s="9"/>
    </row>
    <row r="65" spans="3:4" x14ac:dyDescent="0.25">
      <c r="C65">
        <v>17</v>
      </c>
      <c r="D65">
        <f>C65*24</f>
        <v>408</v>
      </c>
    </row>
  </sheetData>
  <mergeCells count="72">
    <mergeCell ref="BU64:BV64"/>
    <mergeCell ref="A5:A8"/>
    <mergeCell ref="B5:B8"/>
    <mergeCell ref="E5:BO5"/>
    <mergeCell ref="AX6:AY6"/>
    <mergeCell ref="D5:D8"/>
    <mergeCell ref="I6:J6"/>
    <mergeCell ref="Y6:Z6"/>
    <mergeCell ref="AA6:AB6"/>
    <mergeCell ref="AC6:AD6"/>
    <mergeCell ref="K6:L6"/>
    <mergeCell ref="M6:N6"/>
    <mergeCell ref="O6:P6"/>
    <mergeCell ref="Q6:R6"/>
    <mergeCell ref="BU6:CD7"/>
    <mergeCell ref="AT7:AU7"/>
    <mergeCell ref="AV7:AW7"/>
    <mergeCell ref="AX7:AY7"/>
    <mergeCell ref="AZ7:BA7"/>
    <mergeCell ref="BB7:BC7"/>
    <mergeCell ref="BP5:BP8"/>
    <mergeCell ref="BD7:BE7"/>
    <mergeCell ref="BQ5:BQ8"/>
    <mergeCell ref="BR5:BR8"/>
    <mergeCell ref="BH6:BI6"/>
    <mergeCell ref="BJ6:BK6"/>
    <mergeCell ref="BL6:BM6"/>
    <mergeCell ref="BN6:BO6"/>
    <mergeCell ref="BN7:BO7"/>
    <mergeCell ref="BL7:BM7"/>
    <mergeCell ref="BJ7:BK7"/>
    <mergeCell ref="BH7:BI7"/>
    <mergeCell ref="AP7:AQ7"/>
    <mergeCell ref="AR7:AS7"/>
    <mergeCell ref="U6:V6"/>
    <mergeCell ref="W6:X6"/>
    <mergeCell ref="BF7:BG7"/>
    <mergeCell ref="AZ6:BA6"/>
    <mergeCell ref="BB6:BC6"/>
    <mergeCell ref="BD6:BE6"/>
    <mergeCell ref="BF6:BG6"/>
    <mergeCell ref="AN6:AO6"/>
    <mergeCell ref="AP6:AQ6"/>
    <mergeCell ref="AR6:AS6"/>
    <mergeCell ref="AT6:AU6"/>
    <mergeCell ref="AV6:AW6"/>
    <mergeCell ref="AN7:AO7"/>
    <mergeCell ref="AF6:AG6"/>
    <mergeCell ref="AL6:AM6"/>
    <mergeCell ref="AA7:AB7"/>
    <mergeCell ref="AC7:AD7"/>
    <mergeCell ref="AF7:AG7"/>
    <mergeCell ref="G6:H6"/>
    <mergeCell ref="I7:J7"/>
    <mergeCell ref="K7:L7"/>
    <mergeCell ref="M7:N7"/>
    <mergeCell ref="O7:P7"/>
    <mergeCell ref="G7:H7"/>
    <mergeCell ref="AL7:AM7"/>
    <mergeCell ref="AH7:AI7"/>
    <mergeCell ref="AJ7:AK7"/>
    <mergeCell ref="Y7:Z7"/>
    <mergeCell ref="AH6:AI6"/>
    <mergeCell ref="AJ6:AK6"/>
    <mergeCell ref="E7:F7"/>
    <mergeCell ref="U7:V7"/>
    <mergeCell ref="S7:T7"/>
    <mergeCell ref="W7:X7"/>
    <mergeCell ref="C5:C8"/>
    <mergeCell ref="E6:F6"/>
    <mergeCell ref="S6:T6"/>
    <mergeCell ref="Q7:R7"/>
  </mergeCells>
  <phoneticPr fontId="5" type="noConversion"/>
  <conditionalFormatting sqref="A5:A8">
    <cfRule type="duplicateValues" dxfId="1" priority="1"/>
  </conditionalFormatting>
  <conditionalFormatting sqref="B5:C8">
    <cfRule type="duplicateValues" dxfId="0" priority="650"/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47AC-4C62-4625-838C-CB14DCAB3148}">
  <dimension ref="A1:AF45"/>
  <sheetViews>
    <sheetView topLeftCell="A2" workbookViewId="0">
      <selection activeCell="J3" sqref="J3"/>
    </sheetView>
  </sheetViews>
  <sheetFormatPr defaultRowHeight="15" x14ac:dyDescent="0.25"/>
  <cols>
    <col min="1" max="1" width="5.140625" bestFit="1" customWidth="1"/>
    <col min="2" max="2" width="28.28515625" bestFit="1" customWidth="1"/>
    <col min="3" max="9" width="10.7109375" hidden="1" customWidth="1"/>
    <col min="10" max="32" width="10.7109375" bestFit="1" customWidth="1"/>
  </cols>
  <sheetData>
    <row r="1" spans="1:32" ht="82.5" customHeight="1" x14ac:dyDescent="0.25"/>
    <row r="2" spans="1:32" x14ac:dyDescent="0.25">
      <c r="A2" s="9"/>
      <c r="B2" s="42" t="s">
        <v>64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4"/>
    </row>
    <row r="3" spans="1:32" x14ac:dyDescent="0.25">
      <c r="A3" s="41" t="s">
        <v>4</v>
      </c>
      <c r="B3" s="41" t="s">
        <v>9</v>
      </c>
      <c r="C3" s="10" t="str">
        <f>+TEXT(J4,"DDD")</f>
        <v>Wed</v>
      </c>
      <c r="D3" s="10" t="str">
        <f t="shared" ref="D3:AF3" si="0">+TEXT(K4,"DDD")</f>
        <v>Thu</v>
      </c>
      <c r="E3" s="10" t="str">
        <f t="shared" si="0"/>
        <v>Fri</v>
      </c>
      <c r="F3" s="10" t="str">
        <f t="shared" si="0"/>
        <v>Sat</v>
      </c>
      <c r="G3" s="10" t="str">
        <f t="shared" si="0"/>
        <v>Sun</v>
      </c>
      <c r="H3" s="10" t="str">
        <f t="shared" si="0"/>
        <v>Mon</v>
      </c>
      <c r="I3" s="10" t="str">
        <f t="shared" si="0"/>
        <v>Tue</v>
      </c>
      <c r="J3" s="10" t="str">
        <f t="shared" si="0"/>
        <v>Wed</v>
      </c>
      <c r="K3" s="10" t="str">
        <f t="shared" si="0"/>
        <v>Thu</v>
      </c>
      <c r="L3" s="10" t="str">
        <f t="shared" si="0"/>
        <v>Fri</v>
      </c>
      <c r="M3" s="10" t="str">
        <f t="shared" si="0"/>
        <v>Sat</v>
      </c>
      <c r="N3" s="10" t="str">
        <f t="shared" si="0"/>
        <v>Sun</v>
      </c>
      <c r="O3" s="10" t="str">
        <f t="shared" si="0"/>
        <v>Mon</v>
      </c>
      <c r="P3" s="10" t="str">
        <f t="shared" si="0"/>
        <v>Tue</v>
      </c>
      <c r="Q3" s="10" t="str">
        <f t="shared" si="0"/>
        <v>Wed</v>
      </c>
      <c r="R3" s="10" t="str">
        <f t="shared" si="0"/>
        <v>Thu</v>
      </c>
      <c r="S3" s="10" t="str">
        <f t="shared" si="0"/>
        <v>Fri</v>
      </c>
      <c r="T3" s="10" t="str">
        <f t="shared" si="0"/>
        <v>Sat</v>
      </c>
      <c r="U3" s="10" t="str">
        <f t="shared" si="0"/>
        <v>Sun</v>
      </c>
      <c r="V3" s="10" t="str">
        <f t="shared" si="0"/>
        <v>Mon</v>
      </c>
      <c r="W3" s="10" t="str">
        <f t="shared" si="0"/>
        <v>Tue</v>
      </c>
      <c r="X3" s="10" t="str">
        <f t="shared" si="0"/>
        <v>Wed</v>
      </c>
      <c r="Y3" s="10" t="str">
        <f t="shared" si="0"/>
        <v>Thu</v>
      </c>
      <c r="Z3" s="10" t="str">
        <f t="shared" si="0"/>
        <v>Sat</v>
      </c>
      <c r="AA3" s="10" t="str">
        <f t="shared" si="0"/>
        <v>Sat</v>
      </c>
      <c r="AB3" s="10" t="str">
        <f t="shared" si="0"/>
        <v>Sat</v>
      </c>
      <c r="AC3" s="10" t="str">
        <f t="shared" si="0"/>
        <v>Sat</v>
      </c>
      <c r="AD3" s="10" t="str">
        <f t="shared" si="0"/>
        <v>Sat</v>
      </c>
      <c r="AE3" s="10" t="str">
        <f t="shared" si="0"/>
        <v>Sat</v>
      </c>
      <c r="AF3" s="10" t="str">
        <f t="shared" si="0"/>
        <v>Sat</v>
      </c>
    </row>
    <row r="4" spans="1:32" x14ac:dyDescent="0.25">
      <c r="A4" s="41"/>
      <c r="B4" s="41"/>
      <c r="C4" s="11">
        <v>46113</v>
      </c>
      <c r="D4" s="11">
        <v>46114</v>
      </c>
      <c r="E4" s="11">
        <v>46115</v>
      </c>
      <c r="F4" s="11">
        <v>46116</v>
      </c>
      <c r="G4" s="11">
        <v>46117</v>
      </c>
      <c r="H4" s="11">
        <v>46118</v>
      </c>
      <c r="I4" s="11">
        <v>46119</v>
      </c>
      <c r="J4" s="12">
        <v>46120</v>
      </c>
      <c r="K4" s="12">
        <v>46121</v>
      </c>
      <c r="L4" s="12">
        <v>46122</v>
      </c>
      <c r="M4" s="12">
        <v>46123</v>
      </c>
      <c r="N4" s="12">
        <v>46124</v>
      </c>
      <c r="O4" s="12">
        <v>46125</v>
      </c>
      <c r="P4" s="12">
        <v>46126</v>
      </c>
      <c r="Q4" s="12">
        <v>46127</v>
      </c>
      <c r="R4" s="12">
        <v>46128</v>
      </c>
      <c r="S4" s="12">
        <v>46129</v>
      </c>
      <c r="T4" s="12">
        <v>46130</v>
      </c>
      <c r="U4" s="12">
        <v>46131</v>
      </c>
      <c r="V4" s="12">
        <v>46132</v>
      </c>
      <c r="W4" s="12">
        <v>46133</v>
      </c>
      <c r="X4" s="12">
        <v>46134</v>
      </c>
      <c r="Y4" s="12">
        <v>46135</v>
      </c>
      <c r="Z4" s="12">
        <v>46136</v>
      </c>
      <c r="AA4" s="12">
        <v>46137</v>
      </c>
      <c r="AB4" s="12">
        <v>46138</v>
      </c>
      <c r="AC4" s="12">
        <v>46139</v>
      </c>
      <c r="AD4" s="12">
        <v>46140</v>
      </c>
      <c r="AE4" s="12">
        <v>46141</v>
      </c>
      <c r="AF4" s="12">
        <v>46142</v>
      </c>
    </row>
    <row r="5" spans="1:32" x14ac:dyDescent="0.25">
      <c r="A5" s="9">
        <v>1</v>
      </c>
      <c r="B5" s="13" t="s">
        <v>10</v>
      </c>
      <c r="C5" s="1"/>
      <c r="D5" s="1"/>
      <c r="E5" s="1"/>
      <c r="F5" s="1"/>
      <c r="G5" s="1"/>
      <c r="H5" s="1"/>
      <c r="I5" s="1"/>
      <c r="J5" s="9">
        <v>13</v>
      </c>
      <c r="K5" s="9">
        <v>13</v>
      </c>
      <c r="L5" s="9">
        <v>13</v>
      </c>
      <c r="M5" s="21">
        <v>13</v>
      </c>
      <c r="N5" s="21">
        <v>13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25">
      <c r="A6" s="15">
        <v>2</v>
      </c>
      <c r="B6" s="13" t="s">
        <v>11</v>
      </c>
      <c r="C6" s="1"/>
      <c r="D6" s="1"/>
      <c r="E6" s="1"/>
      <c r="F6" s="1"/>
      <c r="G6" s="1"/>
      <c r="H6" s="1"/>
      <c r="I6" s="1"/>
      <c r="J6" s="9">
        <v>8</v>
      </c>
      <c r="K6" s="9">
        <v>8</v>
      </c>
      <c r="L6" s="9">
        <v>8</v>
      </c>
      <c r="M6" s="21">
        <v>8</v>
      </c>
      <c r="N6" s="21">
        <v>8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25">
      <c r="A7" s="9">
        <v>3</v>
      </c>
      <c r="B7" s="13" t="s">
        <v>12</v>
      </c>
      <c r="C7" s="1"/>
      <c r="D7" s="1"/>
      <c r="E7" s="1"/>
      <c r="F7" s="1"/>
      <c r="G7" s="1"/>
      <c r="H7" s="1"/>
      <c r="I7" s="1"/>
      <c r="J7" s="9">
        <v>9</v>
      </c>
      <c r="K7" s="9">
        <v>8</v>
      </c>
      <c r="L7" s="9">
        <v>8</v>
      </c>
      <c r="M7" s="21">
        <v>7</v>
      </c>
      <c r="N7" s="21">
        <v>7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25">
      <c r="A8" s="9">
        <v>4</v>
      </c>
      <c r="B8" s="13" t="s">
        <v>13</v>
      </c>
      <c r="C8" s="1"/>
      <c r="D8" s="1"/>
      <c r="E8" s="1"/>
      <c r="F8" s="1"/>
      <c r="G8" s="1"/>
      <c r="H8" s="1"/>
      <c r="I8" s="1"/>
      <c r="J8" s="9">
        <v>10</v>
      </c>
      <c r="K8" s="9">
        <v>10</v>
      </c>
      <c r="L8" s="9">
        <v>10</v>
      </c>
      <c r="M8" s="21">
        <v>10</v>
      </c>
      <c r="N8" s="21">
        <v>10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25">
      <c r="A9" s="9">
        <v>5</v>
      </c>
      <c r="B9" s="13" t="s">
        <v>15</v>
      </c>
      <c r="C9" s="1"/>
      <c r="D9" s="1"/>
      <c r="E9" s="1"/>
      <c r="F9" s="1"/>
      <c r="G9" s="1"/>
      <c r="H9" s="1"/>
      <c r="I9" s="1"/>
      <c r="J9" s="9">
        <v>6</v>
      </c>
      <c r="K9" s="9">
        <v>5</v>
      </c>
      <c r="L9" s="9">
        <v>5</v>
      </c>
      <c r="M9" s="21">
        <v>5</v>
      </c>
      <c r="N9" s="21">
        <v>4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x14ac:dyDescent="0.25">
      <c r="A10" s="9">
        <v>6</v>
      </c>
      <c r="B10" s="13" t="s">
        <v>16</v>
      </c>
      <c r="C10" s="1"/>
      <c r="D10" s="1"/>
      <c r="E10" s="1"/>
      <c r="F10" s="1"/>
      <c r="G10" s="1"/>
      <c r="H10" s="1"/>
      <c r="I10" s="1"/>
      <c r="J10" s="9">
        <v>2</v>
      </c>
      <c r="K10" s="9">
        <v>1</v>
      </c>
      <c r="L10" s="9">
        <v>1</v>
      </c>
      <c r="M10" s="21">
        <v>1</v>
      </c>
      <c r="N10" s="21">
        <v>1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x14ac:dyDescent="0.25">
      <c r="A11" s="9">
        <v>7</v>
      </c>
      <c r="B11" s="13" t="s">
        <v>17</v>
      </c>
      <c r="C11" s="1"/>
      <c r="D11" s="1"/>
      <c r="E11" s="1"/>
      <c r="F11" s="1"/>
      <c r="G11" s="1"/>
      <c r="H11" s="1"/>
      <c r="I11" s="1"/>
      <c r="J11" s="9">
        <v>3</v>
      </c>
      <c r="K11" s="9">
        <v>3</v>
      </c>
      <c r="L11" s="9">
        <v>3</v>
      </c>
      <c r="M11" s="21">
        <v>2</v>
      </c>
      <c r="N11" s="21">
        <v>2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9">
        <v>8</v>
      </c>
      <c r="B12" s="13" t="s">
        <v>18</v>
      </c>
      <c r="C12" s="1"/>
      <c r="D12" s="1"/>
      <c r="E12" s="1"/>
      <c r="F12" s="1"/>
      <c r="G12" s="1"/>
      <c r="H12" s="1"/>
      <c r="I12" s="1"/>
      <c r="J12" s="9">
        <v>4</v>
      </c>
      <c r="K12" s="9">
        <v>4</v>
      </c>
      <c r="L12" s="9">
        <v>4</v>
      </c>
      <c r="M12" s="21">
        <v>4</v>
      </c>
      <c r="N12" s="21">
        <v>4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x14ac:dyDescent="0.25">
      <c r="A13" s="9">
        <v>9</v>
      </c>
      <c r="B13" s="13" t="s">
        <v>19</v>
      </c>
      <c r="C13" s="1"/>
      <c r="D13" s="1"/>
      <c r="E13" s="1"/>
      <c r="F13" s="1"/>
      <c r="G13" s="1"/>
      <c r="H13" s="1"/>
      <c r="I13" s="1"/>
      <c r="J13" s="9">
        <v>4</v>
      </c>
      <c r="K13" s="9">
        <v>4</v>
      </c>
      <c r="L13" s="9">
        <v>4</v>
      </c>
      <c r="M13" s="9">
        <v>4</v>
      </c>
      <c r="N13" s="21">
        <v>4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ht="30" x14ac:dyDescent="0.25">
      <c r="A14" s="9">
        <v>10</v>
      </c>
      <c r="B14" s="13" t="s">
        <v>20</v>
      </c>
      <c r="C14" s="1"/>
      <c r="D14" s="1"/>
      <c r="E14" s="1"/>
      <c r="F14" s="1"/>
      <c r="G14" s="1"/>
      <c r="H14" s="1"/>
      <c r="I14" s="1"/>
      <c r="J14" s="9">
        <v>3</v>
      </c>
      <c r="K14" s="9">
        <v>2</v>
      </c>
      <c r="L14" s="9">
        <v>1</v>
      </c>
      <c r="M14" s="9">
        <v>0</v>
      </c>
      <c r="N14" s="21">
        <v>0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x14ac:dyDescent="0.25">
      <c r="A15" s="9">
        <v>11</v>
      </c>
      <c r="B15" s="13" t="s">
        <v>21</v>
      </c>
      <c r="C15" s="1"/>
      <c r="D15" s="1"/>
      <c r="E15" s="1"/>
      <c r="F15" s="1"/>
      <c r="G15" s="1"/>
      <c r="H15" s="1"/>
      <c r="I15" s="1"/>
      <c r="J15" s="9">
        <v>5</v>
      </c>
      <c r="K15" s="9">
        <v>5</v>
      </c>
      <c r="L15" s="9">
        <v>5</v>
      </c>
      <c r="M15" s="9">
        <v>3</v>
      </c>
      <c r="N15" s="21">
        <v>3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x14ac:dyDescent="0.25">
      <c r="A16" s="9">
        <v>12</v>
      </c>
      <c r="B16" s="13" t="s">
        <v>22</v>
      </c>
      <c r="C16" s="1"/>
      <c r="D16" s="1"/>
      <c r="E16" s="1"/>
      <c r="F16" s="1"/>
      <c r="G16" s="1"/>
      <c r="H16" s="1"/>
      <c r="I16" s="1"/>
      <c r="J16" s="9">
        <v>4</v>
      </c>
      <c r="K16" s="9">
        <v>4</v>
      </c>
      <c r="L16" s="9">
        <v>4</v>
      </c>
      <c r="M16" s="9">
        <v>2</v>
      </c>
      <c r="N16" s="21">
        <v>2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x14ac:dyDescent="0.25">
      <c r="A17" s="9">
        <v>13</v>
      </c>
      <c r="B17" s="13" t="s">
        <v>23</v>
      </c>
      <c r="C17" s="1"/>
      <c r="D17" s="1"/>
      <c r="E17" s="1"/>
      <c r="F17" s="1"/>
      <c r="G17" s="1"/>
      <c r="H17" s="1"/>
      <c r="I17" s="1"/>
      <c r="J17" s="9">
        <v>7</v>
      </c>
      <c r="K17" s="9">
        <v>7</v>
      </c>
      <c r="L17" s="9">
        <v>7</v>
      </c>
      <c r="M17" s="9">
        <v>7</v>
      </c>
      <c r="N17" s="21">
        <v>7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ht="30" x14ac:dyDescent="0.25">
      <c r="A18" s="9">
        <v>14</v>
      </c>
      <c r="B18" s="13" t="s">
        <v>25</v>
      </c>
      <c r="C18" s="1"/>
      <c r="D18" s="1"/>
      <c r="E18" s="1"/>
      <c r="F18" s="1"/>
      <c r="G18" s="1"/>
      <c r="H18" s="1"/>
      <c r="I18" s="1"/>
      <c r="J18" s="9">
        <v>7</v>
      </c>
      <c r="K18" s="9">
        <v>7</v>
      </c>
      <c r="L18" s="9">
        <v>7</v>
      </c>
      <c r="M18" s="21">
        <v>7</v>
      </c>
      <c r="N18" s="21">
        <v>6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x14ac:dyDescent="0.25">
      <c r="A19" s="9">
        <v>15</v>
      </c>
      <c r="B19" s="13" t="s">
        <v>24</v>
      </c>
      <c r="C19" s="1"/>
      <c r="D19" s="1"/>
      <c r="E19" s="1"/>
      <c r="F19" s="1"/>
      <c r="G19" s="1"/>
      <c r="H19" s="1"/>
      <c r="I19" s="1"/>
      <c r="J19" s="9">
        <v>22</v>
      </c>
      <c r="K19" s="9">
        <v>19</v>
      </c>
      <c r="L19" s="9">
        <v>18</v>
      </c>
      <c r="M19" s="21">
        <v>16</v>
      </c>
      <c r="N19" s="21">
        <v>12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x14ac:dyDescent="0.25">
      <c r="A20" s="9">
        <v>16</v>
      </c>
      <c r="B20" s="13" t="s">
        <v>26</v>
      </c>
      <c r="C20" s="1"/>
      <c r="D20" s="1"/>
      <c r="E20" s="1"/>
      <c r="F20" s="1"/>
      <c r="G20" s="1"/>
      <c r="H20" s="1"/>
      <c r="I20" s="1"/>
      <c r="J20" s="9">
        <v>0</v>
      </c>
      <c r="K20" s="9">
        <v>0</v>
      </c>
      <c r="L20" s="9">
        <v>0</v>
      </c>
      <c r="M20" s="21">
        <v>0</v>
      </c>
      <c r="N20" s="21">
        <v>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x14ac:dyDescent="0.25">
      <c r="A21" s="9">
        <v>17</v>
      </c>
      <c r="B21" s="13" t="s">
        <v>27</v>
      </c>
      <c r="C21" s="1"/>
      <c r="D21" s="1"/>
      <c r="E21" s="1"/>
      <c r="F21" s="1"/>
      <c r="G21" s="1"/>
      <c r="H21" s="1"/>
      <c r="I21" s="1"/>
      <c r="J21" s="9">
        <v>1</v>
      </c>
      <c r="K21" s="9">
        <v>1</v>
      </c>
      <c r="L21" s="9">
        <v>1</v>
      </c>
      <c r="M21" s="21">
        <v>1</v>
      </c>
      <c r="N21" s="21">
        <v>0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x14ac:dyDescent="0.25">
      <c r="A22" s="9">
        <v>18</v>
      </c>
      <c r="B22" s="13" t="s">
        <v>28</v>
      </c>
      <c r="C22" s="1"/>
      <c r="D22" s="1"/>
      <c r="E22" s="1"/>
      <c r="F22" s="1"/>
      <c r="G22" s="1"/>
      <c r="H22" s="1"/>
      <c r="I22" s="1"/>
      <c r="J22" s="9">
        <v>9</v>
      </c>
      <c r="K22" s="9">
        <v>4</v>
      </c>
      <c r="L22" s="9">
        <v>3</v>
      </c>
      <c r="M22" s="21">
        <v>3</v>
      </c>
      <c r="N22" s="21">
        <v>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x14ac:dyDescent="0.25">
      <c r="A23" s="9">
        <v>19</v>
      </c>
      <c r="B23" s="13" t="s">
        <v>29</v>
      </c>
      <c r="C23" s="1"/>
      <c r="D23" s="1"/>
      <c r="E23" s="1"/>
      <c r="F23" s="1"/>
      <c r="G23" s="1"/>
      <c r="H23" s="1"/>
      <c r="I23" s="1"/>
      <c r="J23" s="9">
        <v>0</v>
      </c>
      <c r="K23" s="9">
        <v>0</v>
      </c>
      <c r="L23" s="9">
        <v>0</v>
      </c>
      <c r="M23" s="21">
        <v>0</v>
      </c>
      <c r="N23" s="21">
        <v>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x14ac:dyDescent="0.25">
      <c r="A24" s="9">
        <v>20</v>
      </c>
      <c r="B24" s="13" t="s">
        <v>30</v>
      </c>
      <c r="C24" s="1"/>
      <c r="D24" s="1"/>
      <c r="E24" s="1"/>
      <c r="F24" s="1"/>
      <c r="G24" s="1"/>
      <c r="H24" s="1"/>
      <c r="I24" s="1"/>
      <c r="J24" s="9">
        <v>15</v>
      </c>
      <c r="K24" s="9">
        <v>13</v>
      </c>
      <c r="L24" s="9">
        <v>13</v>
      </c>
      <c r="M24" s="21">
        <v>12</v>
      </c>
      <c r="N24" s="21">
        <v>12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x14ac:dyDescent="0.25">
      <c r="A25" s="9">
        <v>21</v>
      </c>
      <c r="B25" s="13" t="s">
        <v>32</v>
      </c>
      <c r="C25" s="1"/>
      <c r="D25" s="1"/>
      <c r="E25" s="1"/>
      <c r="F25" s="1"/>
      <c r="G25" s="1"/>
      <c r="H25" s="1"/>
      <c r="I25" s="1"/>
      <c r="J25" s="9">
        <v>7</v>
      </c>
      <c r="K25" s="9">
        <v>7</v>
      </c>
      <c r="L25" s="9">
        <v>7</v>
      </c>
      <c r="M25" s="21">
        <v>6</v>
      </c>
      <c r="N25" s="21">
        <v>6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x14ac:dyDescent="0.25">
      <c r="A26" s="9">
        <v>22</v>
      </c>
      <c r="B26" s="13" t="s">
        <v>31</v>
      </c>
      <c r="C26" s="1"/>
      <c r="D26" s="1"/>
      <c r="E26" s="1"/>
      <c r="F26" s="1"/>
      <c r="G26" s="1"/>
      <c r="H26" s="1"/>
      <c r="I26" s="1"/>
      <c r="J26" s="9">
        <v>9</v>
      </c>
      <c r="K26" s="9">
        <v>9</v>
      </c>
      <c r="L26" s="9">
        <v>9</v>
      </c>
      <c r="M26" s="21">
        <v>9</v>
      </c>
      <c r="N26" s="21">
        <v>9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x14ac:dyDescent="0.25">
      <c r="A27" s="9">
        <v>23</v>
      </c>
      <c r="B27" s="13" t="s">
        <v>33</v>
      </c>
      <c r="C27" s="1"/>
      <c r="D27" s="1"/>
      <c r="E27" s="1"/>
      <c r="F27" s="1"/>
      <c r="G27" s="1"/>
      <c r="H27" s="1"/>
      <c r="I27" s="1"/>
      <c r="J27" s="9">
        <v>9</v>
      </c>
      <c r="K27" s="9">
        <v>7</v>
      </c>
      <c r="L27" s="9">
        <v>7</v>
      </c>
      <c r="M27" s="21">
        <v>5</v>
      </c>
      <c r="N27" s="21">
        <v>5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x14ac:dyDescent="0.25">
      <c r="A28" s="9">
        <v>24</v>
      </c>
      <c r="B28" s="13" t="s">
        <v>34</v>
      </c>
      <c r="C28" s="1"/>
      <c r="D28" s="1"/>
      <c r="E28" s="1"/>
      <c r="F28" s="1"/>
      <c r="G28" s="1"/>
      <c r="H28" s="1"/>
      <c r="I28" s="1"/>
      <c r="J28" s="9">
        <v>10</v>
      </c>
      <c r="K28" s="9">
        <v>4</v>
      </c>
      <c r="L28" s="9">
        <v>2</v>
      </c>
      <c r="M28" s="9">
        <v>0</v>
      </c>
      <c r="N28" s="21">
        <v>0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x14ac:dyDescent="0.25">
      <c r="A29" s="9">
        <v>25</v>
      </c>
      <c r="B29" s="13" t="s">
        <v>35</v>
      </c>
      <c r="C29" s="1"/>
      <c r="D29" s="1"/>
      <c r="E29" s="1"/>
      <c r="F29" s="1"/>
      <c r="G29" s="1"/>
      <c r="H29" s="1"/>
      <c r="I29" s="1"/>
      <c r="J29" s="9">
        <v>6</v>
      </c>
      <c r="K29" s="9">
        <v>6</v>
      </c>
      <c r="L29" s="9">
        <v>5</v>
      </c>
      <c r="M29" s="9">
        <v>5</v>
      </c>
      <c r="N29" s="21">
        <v>5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x14ac:dyDescent="0.25">
      <c r="A30" s="9">
        <v>26</v>
      </c>
      <c r="B30" s="13" t="s">
        <v>36</v>
      </c>
      <c r="C30" s="1"/>
      <c r="D30" s="1"/>
      <c r="E30" s="1"/>
      <c r="F30" s="1"/>
      <c r="G30" s="1"/>
      <c r="H30" s="1"/>
      <c r="I30" s="1"/>
      <c r="J30" s="9">
        <v>7</v>
      </c>
      <c r="K30" s="9">
        <v>7</v>
      </c>
      <c r="L30" s="9">
        <v>7</v>
      </c>
      <c r="M30" s="9">
        <v>7</v>
      </c>
      <c r="N30" s="21">
        <v>7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x14ac:dyDescent="0.25">
      <c r="A31" s="9">
        <v>27</v>
      </c>
      <c r="B31" s="13" t="s">
        <v>37</v>
      </c>
      <c r="C31" s="1"/>
      <c r="D31" s="1"/>
      <c r="E31" s="1"/>
      <c r="F31" s="1"/>
      <c r="G31" s="1"/>
      <c r="H31" s="1"/>
      <c r="I31" s="1"/>
      <c r="J31" s="9">
        <v>26</v>
      </c>
      <c r="K31" s="9">
        <v>409</v>
      </c>
      <c r="L31" s="9">
        <v>409</v>
      </c>
      <c r="M31" s="9">
        <v>409</v>
      </c>
      <c r="N31" s="9">
        <v>406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x14ac:dyDescent="0.25">
      <c r="A32" s="9">
        <v>28</v>
      </c>
      <c r="B32" s="13" t="s">
        <v>38</v>
      </c>
      <c r="C32" s="1"/>
      <c r="D32" s="1"/>
      <c r="E32" s="1"/>
      <c r="F32" s="1"/>
      <c r="G32" s="1"/>
      <c r="H32" s="1"/>
      <c r="I32" s="1"/>
      <c r="J32" s="9">
        <v>30</v>
      </c>
      <c r="K32" s="9">
        <v>27</v>
      </c>
      <c r="L32" s="9">
        <v>27</v>
      </c>
      <c r="M32" s="21">
        <v>27</v>
      </c>
      <c r="N32" s="21">
        <v>27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x14ac:dyDescent="0.25">
      <c r="A33" s="9">
        <v>29</v>
      </c>
      <c r="B33" s="13" t="s">
        <v>40</v>
      </c>
      <c r="C33" s="1"/>
      <c r="D33" s="1"/>
      <c r="E33" s="1"/>
      <c r="F33" s="1"/>
      <c r="G33" s="1"/>
      <c r="H33" s="1"/>
      <c r="I33" s="1"/>
      <c r="J33" s="9">
        <v>7</v>
      </c>
      <c r="K33" s="9">
        <v>7</v>
      </c>
      <c r="L33" s="9">
        <v>5</v>
      </c>
      <c r="M33" s="9">
        <v>5</v>
      </c>
      <c r="N33" s="21">
        <v>5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x14ac:dyDescent="0.25">
      <c r="A34" s="9">
        <v>30</v>
      </c>
      <c r="B34" s="13" t="s">
        <v>41</v>
      </c>
      <c r="C34" s="1"/>
      <c r="D34" s="1"/>
      <c r="E34" s="1"/>
      <c r="F34" s="1"/>
      <c r="G34" s="1"/>
      <c r="H34" s="1"/>
      <c r="I34" s="1"/>
      <c r="J34" s="9">
        <v>4</v>
      </c>
      <c r="K34" s="9">
        <v>4</v>
      </c>
      <c r="L34" s="9">
        <v>4</v>
      </c>
      <c r="M34" s="9">
        <v>4</v>
      </c>
      <c r="N34" s="21">
        <v>4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x14ac:dyDescent="0.25">
      <c r="A35" s="9">
        <v>31</v>
      </c>
      <c r="B35" s="13" t="s">
        <v>42</v>
      </c>
      <c r="C35" s="1"/>
      <c r="D35" s="1"/>
      <c r="E35" s="1"/>
      <c r="F35" s="1"/>
      <c r="G35" s="1"/>
      <c r="H35" s="1"/>
      <c r="I35" s="1"/>
      <c r="J35" s="9">
        <v>4</v>
      </c>
      <c r="K35" s="9">
        <v>4</v>
      </c>
      <c r="L35" s="9">
        <v>4</v>
      </c>
      <c r="M35" s="9">
        <v>4</v>
      </c>
      <c r="N35" s="21">
        <v>4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x14ac:dyDescent="0.25">
      <c r="A36" s="9">
        <v>32</v>
      </c>
      <c r="B36" s="13" t="s">
        <v>45</v>
      </c>
      <c r="C36" s="1"/>
      <c r="D36" s="1"/>
      <c r="E36" s="1"/>
      <c r="F36" s="1"/>
      <c r="G36" s="1"/>
      <c r="H36" s="1"/>
      <c r="I36" s="1"/>
      <c r="J36" s="9">
        <v>4</v>
      </c>
      <c r="K36" s="9">
        <v>4</v>
      </c>
      <c r="L36" s="9">
        <v>4</v>
      </c>
      <c r="M36" s="9">
        <v>4</v>
      </c>
      <c r="N36" s="21">
        <v>4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x14ac:dyDescent="0.25">
      <c r="A37" s="9">
        <v>33</v>
      </c>
      <c r="B37" s="13" t="s">
        <v>46</v>
      </c>
      <c r="C37" s="1"/>
      <c r="D37" s="1"/>
      <c r="E37" s="1"/>
      <c r="F37" s="1"/>
      <c r="G37" s="1"/>
      <c r="H37" s="1"/>
      <c r="I37" s="1"/>
      <c r="J37" s="9">
        <v>3</v>
      </c>
      <c r="K37" s="9">
        <v>3</v>
      </c>
      <c r="L37" s="9">
        <v>3</v>
      </c>
      <c r="M37" s="9">
        <v>3</v>
      </c>
      <c r="N37" s="21">
        <v>3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x14ac:dyDescent="0.25">
      <c r="A38" s="9">
        <v>34</v>
      </c>
      <c r="B38" s="13" t="s">
        <v>47</v>
      </c>
      <c r="C38" s="1"/>
      <c r="D38" s="1"/>
      <c r="E38" s="1"/>
      <c r="F38" s="1"/>
      <c r="G38" s="1"/>
      <c r="H38" s="1"/>
      <c r="I38" s="1"/>
      <c r="J38" s="9">
        <v>4</v>
      </c>
      <c r="K38" s="9">
        <v>4</v>
      </c>
      <c r="L38" s="9">
        <v>4</v>
      </c>
      <c r="M38" s="9">
        <v>4</v>
      </c>
      <c r="N38" s="21">
        <v>4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x14ac:dyDescent="0.25">
      <c r="A39" s="9">
        <v>35</v>
      </c>
      <c r="B39" s="13" t="s">
        <v>48</v>
      </c>
      <c r="C39" s="1"/>
      <c r="D39" s="1"/>
      <c r="E39" s="1"/>
      <c r="F39" s="1"/>
      <c r="G39" s="1"/>
      <c r="H39" s="1"/>
      <c r="I39" s="1"/>
      <c r="J39" s="9">
        <v>4</v>
      </c>
      <c r="K39" s="9">
        <v>4</v>
      </c>
      <c r="L39" s="9">
        <v>4</v>
      </c>
      <c r="M39" s="9">
        <v>4</v>
      </c>
      <c r="N39" s="21">
        <v>4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x14ac:dyDescent="0.25">
      <c r="A40" s="9">
        <v>36</v>
      </c>
      <c r="B40" s="13" t="s">
        <v>49</v>
      </c>
      <c r="C40" s="1"/>
      <c r="D40" s="1"/>
      <c r="E40" s="1"/>
      <c r="F40" s="1"/>
      <c r="G40" s="1"/>
      <c r="H40" s="1"/>
      <c r="I40" s="1"/>
      <c r="J40" s="9">
        <v>4</v>
      </c>
      <c r="K40" s="9">
        <v>4</v>
      </c>
      <c r="L40" s="9">
        <v>4</v>
      </c>
      <c r="M40" s="9">
        <v>2</v>
      </c>
      <c r="N40" s="21">
        <v>2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x14ac:dyDescent="0.25">
      <c r="A41" s="9">
        <v>37</v>
      </c>
      <c r="B41" s="13" t="s">
        <v>50</v>
      </c>
      <c r="C41" s="1"/>
      <c r="D41" s="1"/>
      <c r="E41" s="1"/>
      <c r="F41" s="1"/>
      <c r="G41" s="1"/>
      <c r="H41" s="1"/>
      <c r="I41" s="1"/>
      <c r="J41" s="9">
        <v>4</v>
      </c>
      <c r="K41" s="9">
        <v>4</v>
      </c>
      <c r="L41" s="9">
        <v>4</v>
      </c>
      <c r="M41" s="9">
        <v>4</v>
      </c>
      <c r="N41" s="20">
        <v>4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x14ac:dyDescent="0.25">
      <c r="A42" s="9">
        <v>38</v>
      </c>
      <c r="B42" s="13" t="s">
        <v>51</v>
      </c>
      <c r="C42" s="1"/>
      <c r="D42" s="1"/>
      <c r="E42" s="1"/>
      <c r="F42" s="1"/>
      <c r="G42" s="1"/>
      <c r="H42" s="1"/>
      <c r="I42" s="1"/>
      <c r="J42" s="9">
        <v>2</v>
      </c>
      <c r="K42" s="9">
        <v>2</v>
      </c>
      <c r="L42" s="9">
        <v>2</v>
      </c>
      <c r="M42" s="9">
        <v>2</v>
      </c>
      <c r="N42" s="21">
        <v>2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x14ac:dyDescent="0.25">
      <c r="A43" s="9">
        <v>39</v>
      </c>
      <c r="B43" s="13" t="s">
        <v>52</v>
      </c>
      <c r="C43" s="1"/>
      <c r="D43" s="1"/>
      <c r="E43" s="1"/>
      <c r="F43" s="1"/>
      <c r="G43" s="1"/>
      <c r="H43" s="1"/>
      <c r="I43" s="1"/>
      <c r="J43" s="9">
        <v>2</v>
      </c>
      <c r="K43" s="9">
        <v>2</v>
      </c>
      <c r="L43" s="9">
        <v>2</v>
      </c>
      <c r="M43" s="9">
        <v>2</v>
      </c>
      <c r="N43" s="21">
        <v>2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x14ac:dyDescent="0.25">
      <c r="A44" s="9">
        <v>40</v>
      </c>
      <c r="B44" s="13" t="s">
        <v>53</v>
      </c>
      <c r="C44" s="1"/>
      <c r="D44" s="1"/>
      <c r="E44" s="1"/>
      <c r="F44" s="1"/>
      <c r="G44" s="1"/>
      <c r="H44" s="1"/>
      <c r="I44" s="1"/>
      <c r="J44" s="9">
        <v>2</v>
      </c>
      <c r="K44" s="9">
        <v>2</v>
      </c>
      <c r="L44" s="9">
        <v>2</v>
      </c>
      <c r="M44" s="9">
        <v>2</v>
      </c>
      <c r="N44" s="21">
        <v>2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x14ac:dyDescent="0.25">
      <c r="A45" s="45" t="s">
        <v>57</v>
      </c>
      <c r="B45" s="45"/>
      <c r="J45">
        <f>SUBTOTAL(109,J5:J44)</f>
        <v>280</v>
      </c>
      <c r="K45">
        <f>SUBTOTAL(109,K5:K44)</f>
        <v>638</v>
      </c>
      <c r="L45">
        <f>SUBTOTAL(109,L5:L44)</f>
        <v>630</v>
      </c>
      <c r="M45">
        <f>SUBTOTAL(109,M5:M44)</f>
        <v>613</v>
      </c>
      <c r="N45">
        <f>SUBTOTAL(109,N5:N44)</f>
        <v>600</v>
      </c>
    </row>
  </sheetData>
  <autoFilter ref="A3:AF4" xr:uid="{F3CC47AC-4C62-4625-838C-CB14DCAB3148}"/>
  <mergeCells count="4">
    <mergeCell ref="A3:A4"/>
    <mergeCell ref="B3:B4"/>
    <mergeCell ref="B2:AF2"/>
    <mergeCell ref="A45:B45"/>
  </mergeCells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J45:K45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97D2-C424-4A92-BC29-B6375299A6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Dip&amp;dash</vt:lpstr>
      <vt:lpstr>147 soonkers stock details</vt:lpstr>
      <vt:lpstr>147 soonkersDaily Stock details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Lap1</dc:creator>
  <cp:lastModifiedBy>Shankar M</cp:lastModifiedBy>
  <cp:lastPrinted>2026-04-08T06:06:02Z</cp:lastPrinted>
  <dcterms:created xsi:type="dcterms:W3CDTF">2023-08-11T09:16:00Z</dcterms:created>
  <dcterms:modified xsi:type="dcterms:W3CDTF">2026-04-14T06:49:07Z</dcterms:modified>
</cp:coreProperties>
</file>