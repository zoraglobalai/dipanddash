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ip &amp; Dash 147 Snookers\2026\Inventory\April-26\"/>
    </mc:Choice>
  </mc:AlternateContent>
  <xr:revisionPtr revIDLastSave="0" documentId="8_{2E82D507-EFEF-4187-B9F9-B7415647F463}" xr6:coauthVersionLast="47" xr6:coauthVersionMax="47" xr10:uidLastSave="{00000000-0000-0000-0000-000000000000}"/>
  <bookViews>
    <workbookView xWindow="-120" yWindow="-120" windowWidth="20730" windowHeight="11040" xr2:uid="{33D9C060-1765-4750-985A-924C360DF0E9}"/>
  </bookViews>
  <sheets>
    <sheet name="Raw 15-04-2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4" i="1" l="1"/>
  <c r="M24" i="1" s="1"/>
  <c r="N24" i="1" s="1"/>
  <c r="K23" i="1"/>
  <c r="M23" i="1" s="1"/>
  <c r="N23" i="1" s="1"/>
  <c r="K22" i="1"/>
  <c r="M22" i="1" s="1"/>
  <c r="N22" i="1" s="1"/>
  <c r="K3" i="1"/>
  <c r="M3" i="1" s="1"/>
  <c r="N3" i="1" s="1"/>
  <c r="K21" i="1"/>
  <c r="M21" i="1" s="1"/>
  <c r="N21" i="1" s="1"/>
  <c r="K20" i="1"/>
  <c r="M20" i="1" s="1"/>
  <c r="N20" i="1" s="1"/>
  <c r="K19" i="1"/>
  <c r="M19" i="1" s="1"/>
  <c r="N19" i="1" s="1"/>
  <c r="K18" i="1"/>
  <c r="M18" i="1" s="1"/>
  <c r="N18" i="1" s="1"/>
  <c r="K17" i="1"/>
  <c r="M17" i="1" s="1"/>
  <c r="N17" i="1" s="1"/>
  <c r="K16" i="1"/>
  <c r="M16" i="1" s="1"/>
  <c r="N16" i="1" s="1"/>
  <c r="K15" i="1"/>
  <c r="M15" i="1" s="1"/>
  <c r="N15" i="1" s="1"/>
  <c r="K14" i="1"/>
  <c r="M14" i="1" s="1"/>
  <c r="N14" i="1" s="1"/>
  <c r="K13" i="1"/>
  <c r="M13" i="1" s="1"/>
  <c r="N13" i="1" s="1"/>
  <c r="K12" i="1"/>
  <c r="M12" i="1" s="1"/>
  <c r="N12" i="1" s="1"/>
  <c r="K11" i="1"/>
  <c r="M11" i="1" s="1"/>
  <c r="N11" i="1" s="1"/>
  <c r="K10" i="1"/>
  <c r="M10" i="1" s="1"/>
  <c r="N10" i="1" s="1"/>
  <c r="K9" i="1"/>
  <c r="M9" i="1" s="1"/>
  <c r="N9" i="1" s="1"/>
  <c r="K5" i="1"/>
  <c r="M5" i="1" s="1"/>
  <c r="N5" i="1" s="1"/>
  <c r="K6" i="1"/>
  <c r="M6" i="1" s="1"/>
  <c r="N6" i="1" s="1"/>
  <c r="K7" i="1"/>
  <c r="M7" i="1" s="1"/>
  <c r="N7" i="1" s="1"/>
  <c r="K8" i="1"/>
  <c r="M8" i="1" s="1"/>
  <c r="N8" i="1" s="1"/>
  <c r="K4" i="1"/>
  <c r="N27" i="1" l="1"/>
  <c r="M4" i="1"/>
  <c r="N4" i="1" s="1"/>
</calcChain>
</file>

<file path=xl/sharedStrings.xml><?xml version="1.0" encoding="utf-8"?>
<sst xmlns="http://schemas.openxmlformats.org/spreadsheetml/2006/main" count="144" uniqueCount="60">
  <si>
    <t>Project Name</t>
  </si>
  <si>
    <t>Month</t>
  </si>
  <si>
    <t xml:space="preserve">Description </t>
  </si>
  <si>
    <t>Purchase Qty</t>
  </si>
  <si>
    <t xml:space="preserve">Unit price </t>
  </si>
  <si>
    <t xml:space="preserve">Amount </t>
  </si>
  <si>
    <t>GST%</t>
  </si>
  <si>
    <t>Gst Amount</t>
  </si>
  <si>
    <t>Grand Total</t>
  </si>
  <si>
    <t>Purchase Date</t>
  </si>
  <si>
    <t xml:space="preserve">Vendor Name </t>
  </si>
  <si>
    <t>Vendor Invoice N#</t>
  </si>
  <si>
    <t>S/N</t>
  </si>
  <si>
    <t>Frozen Buys</t>
  </si>
  <si>
    <t>TVR/972/26-27</t>
  </si>
  <si>
    <t>Dip &amp; Dash</t>
  </si>
  <si>
    <t>April</t>
  </si>
  <si>
    <t>Alt Qty</t>
  </si>
  <si>
    <t>Tex Mex Nacho Chips 200g x 12Pkd</t>
  </si>
  <si>
    <t>0.600 Kg</t>
  </si>
  <si>
    <t>5.000 Kg</t>
  </si>
  <si>
    <t>Her Chocolate Syrup 6230</t>
  </si>
  <si>
    <t>0.623 Kg</t>
  </si>
  <si>
    <t>MT Dark Soya Sauce 750g x 24N</t>
  </si>
  <si>
    <t>0.750 Kg</t>
  </si>
  <si>
    <t>GC Worcestershire Sauce-200G x48n</t>
  </si>
  <si>
    <t>DM Premium Eggless Mayo 1kg x 12 PKT</t>
  </si>
  <si>
    <t>0.200 Kg</t>
  </si>
  <si>
    <t>VB Tomato Ketchup-1.2 Kg x 12N</t>
  </si>
  <si>
    <t>1.200 Kg</t>
  </si>
  <si>
    <t>MT Red Chilli Sauce 680g 24N</t>
  </si>
  <si>
    <t>0.680 Kg</t>
  </si>
  <si>
    <t>MAL Mango Crush ash 700ml x 12</t>
  </si>
  <si>
    <t>0.750 LT</t>
  </si>
  <si>
    <t>0.775 Lt</t>
  </si>
  <si>
    <t>VB Mojito Mint Syrup 775 ml</t>
  </si>
  <si>
    <t xml:space="preserve">Habit Gerkins Sliced 680g x 12 </t>
  </si>
  <si>
    <t xml:space="preserve"> Amul Fresh Cream-1Lx 12k1</t>
  </si>
  <si>
    <t>1000 Lt</t>
  </si>
  <si>
    <t>CA Mild  Breading Mix 1kg x 10Pkt</t>
  </si>
  <si>
    <t>1000 Kg</t>
  </si>
  <si>
    <t>VKL Piri Piri Marinade -1Kg x 10Pkt</t>
  </si>
  <si>
    <t>CA Aromatic Mix - 500g</t>
  </si>
  <si>
    <t>0.500 Kg</t>
  </si>
  <si>
    <t>WH NV Oyster Sauce Flavoured-520 G</t>
  </si>
  <si>
    <t>Amual Unsalted Cooking Butter CP-500g x30 Pkt</t>
  </si>
  <si>
    <t>VKL Piri Piri Sprinkler  -250g x 40Pkt</t>
  </si>
  <si>
    <t>0.480 Kg</t>
  </si>
  <si>
    <t>IB French Fries 9mm-2.5 Kg x 5 Pkt</t>
  </si>
  <si>
    <t>7.500 Kg</t>
  </si>
  <si>
    <t xml:space="preserve">Dip &amp; Dash Purchase Details </t>
  </si>
  <si>
    <t>AL-BASSEER</t>
  </si>
  <si>
    <t>Beef Premium MIWCRD</t>
  </si>
  <si>
    <t xml:space="preserve">Total </t>
  </si>
  <si>
    <t>Kg</t>
  </si>
  <si>
    <t>SHOUKAT ALI</t>
  </si>
  <si>
    <t xml:space="preserve">Boun's less breast </t>
  </si>
  <si>
    <t xml:space="preserve">Boun's less Thigh  </t>
  </si>
  <si>
    <t xml:space="preserve">Boun's less Wing's  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</si>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</sst>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0" fontId="0" fillId="2" borderId="1" xfId="0" applyFill="1" applyBorder="1"/>
    <xf numFmtId="2" fontId="0" fillId="2" borderId="1" xfId="0" applyNumberFormat="1" applyFill="1" applyBorder="1"/>
    <xf numFmtId="0" fontId="0" fillId="0" borderId="1" xfId="0" applyBorder="1"/>
    <xf numFmtId="14" fontId="0" fillId="0" borderId="1" xfId="0" applyNumberFormat="1" applyBorder="1"/>
    <xf numFmtId="2" fontId="0" fillId="0" borderId="1" xfId="0" applyNumberFormat="1" applyBorder="1"/>
    <xf numFmtId="9" fontId="0" fillId="0" borderId="1" xfId="0" applyNumberFormat="1" applyBorder="1"/>
    <xf numFmtId="0" fontId="0" fillId="0" borderId="1" xfId="0" applyBorder="1" applyAlignment="1">
      <alignment horizontal="left"/>
    </xf>
    <xf numFmtId="0" fontId="2" fillId="2" borderId="1" xfId="0" applyFont="1" applyFill="1" applyBorder="1"/>
    <xf numFmtId="2" fontId="2" fillId="2" borderId="1" xfId="0" applyNumberFormat="1" applyFont="1" applyFill="1" applyBorder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1A3C4-1D16-4A9B-9296-DA59A01377EE}">
  <dimension ref="A1:N27"/>
  <sheetViews>
    <sheetView tabSelected="1" topLeftCell="A8" workbookViewId="0">
      <selection activeCell="D25" sqref="D25"/>
    </sheetView>
  </sheetViews>
  <sheetFormatPr defaultRowHeight="15" x14ac:dyDescent="0.25"/>
  <cols>
    <col min="1" max="1" width="4.28515625" bestFit="1" customWidth="1"/>
    <col min="2" max="2" width="13.85546875" bestFit="1" customWidth="1"/>
    <col min="3" max="3" width="17.5703125" bestFit="1" customWidth="1"/>
    <col min="4" max="4" width="13.7109375" bestFit="1" customWidth="1"/>
    <col min="5" max="5" width="13.140625" bestFit="1" customWidth="1"/>
    <col min="6" max="6" width="6.85546875" bestFit="1" customWidth="1"/>
    <col min="7" max="7" width="43.85546875" bestFit="1" customWidth="1"/>
    <col min="8" max="8" width="8.140625" bestFit="1" customWidth="1"/>
    <col min="9" max="9" width="12.5703125" bestFit="1" customWidth="1"/>
    <col min="10" max="10" width="10" style="1" customWidth="1"/>
    <col min="11" max="11" width="8.5703125" bestFit="1" customWidth="1"/>
    <col min="12" max="12" width="5.85546875" bestFit="1" customWidth="1"/>
    <col min="13" max="13" width="11.42578125" style="1" bestFit="1" customWidth="1"/>
    <col min="14" max="14" width="16.7109375" style="1" bestFit="1" customWidth="1"/>
  </cols>
  <sheetData>
    <row r="1" spans="1:14" ht="33.75" x14ac:dyDescent="0.5">
      <c r="A1" s="11" t="s">
        <v>50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x14ac:dyDescent="0.25">
      <c r="A2" s="2" t="s">
        <v>12</v>
      </c>
      <c r="B2" s="2" t="s">
        <v>10</v>
      </c>
      <c r="C2" s="2" t="s">
        <v>11</v>
      </c>
      <c r="D2" s="2" t="s">
        <v>9</v>
      </c>
      <c r="E2" s="2" t="s">
        <v>0</v>
      </c>
      <c r="F2" s="2" t="s">
        <v>1</v>
      </c>
      <c r="G2" s="2" t="s">
        <v>2</v>
      </c>
      <c r="H2" s="2" t="s">
        <v>17</v>
      </c>
      <c r="I2" s="2" t="s">
        <v>3</v>
      </c>
      <c r="J2" s="3" t="s">
        <v>4</v>
      </c>
      <c r="K2" s="2" t="s">
        <v>5</v>
      </c>
      <c r="L2" s="2" t="s">
        <v>6</v>
      </c>
      <c r="M2" s="3" t="s">
        <v>7</v>
      </c>
      <c r="N2" s="3" t="s">
        <v>8</v>
      </c>
    </row>
    <row r="3" spans="1:14" x14ac:dyDescent="0.25">
      <c r="A3" s="4">
        <v>1</v>
      </c>
      <c r="B3" s="4" t="s">
        <v>51</v>
      </c>
      <c r="C3" s="8">
        <v>166</v>
      </c>
      <c r="D3" s="5">
        <v>46127</v>
      </c>
      <c r="E3" s="4" t="s">
        <v>15</v>
      </c>
      <c r="F3" s="4" t="s">
        <v>16</v>
      </c>
      <c r="G3" s="4" t="s">
        <v>52</v>
      </c>
      <c r="H3" s="4" t="s">
        <v>54</v>
      </c>
      <c r="I3" s="4">
        <v>16</v>
      </c>
      <c r="J3" s="6">
        <v>350</v>
      </c>
      <c r="K3" s="6">
        <f t="shared" ref="K3:K24" si="0">J3*I3</f>
        <v>5600</v>
      </c>
      <c r="L3" s="7">
        <v>0</v>
      </c>
      <c r="M3" s="6">
        <f t="shared" ref="M3:M24" si="1">L3*K3</f>
        <v>0</v>
      </c>
      <c r="N3" s="6">
        <f t="shared" ref="N3:N24" si="2">M3+K3</f>
        <v>5600</v>
      </c>
    </row>
    <row r="4" spans="1:14" x14ac:dyDescent="0.25">
      <c r="A4" s="4">
        <v>2</v>
      </c>
      <c r="B4" s="4" t="s">
        <v>13</v>
      </c>
      <c r="C4" s="4" t="s">
        <v>14</v>
      </c>
      <c r="D4" s="5">
        <v>46127</v>
      </c>
      <c r="E4" s="4" t="s">
        <v>15</v>
      </c>
      <c r="F4" s="4" t="s">
        <v>16</v>
      </c>
      <c r="G4" s="4" t="s">
        <v>18</v>
      </c>
      <c r="H4" s="4" t="s">
        <v>19</v>
      </c>
      <c r="I4" s="4">
        <v>12</v>
      </c>
      <c r="J4" s="6">
        <v>20.474999999999998</v>
      </c>
      <c r="K4" s="6">
        <f t="shared" si="0"/>
        <v>245.7</v>
      </c>
      <c r="L4" s="7">
        <v>0.05</v>
      </c>
      <c r="M4" s="6">
        <f t="shared" si="1"/>
        <v>12.285</v>
      </c>
      <c r="N4" s="6">
        <f t="shared" si="2"/>
        <v>257.98500000000001</v>
      </c>
    </row>
    <row r="5" spans="1:14" x14ac:dyDescent="0.25">
      <c r="A5" s="4">
        <v>3</v>
      </c>
      <c r="B5" s="4" t="s">
        <v>13</v>
      </c>
      <c r="C5" s="4" t="s">
        <v>14</v>
      </c>
      <c r="D5" s="5">
        <v>46127</v>
      </c>
      <c r="E5" s="4" t="s">
        <v>15</v>
      </c>
      <c r="F5" s="4" t="s">
        <v>16</v>
      </c>
      <c r="G5" s="4" t="s">
        <v>26</v>
      </c>
      <c r="H5" s="4" t="s">
        <v>20</v>
      </c>
      <c r="I5" s="4">
        <v>12</v>
      </c>
      <c r="J5" s="6">
        <v>78.966666666666669</v>
      </c>
      <c r="K5" s="6">
        <f t="shared" si="0"/>
        <v>947.6</v>
      </c>
      <c r="L5" s="7">
        <v>0.05</v>
      </c>
      <c r="M5" s="6">
        <f t="shared" si="1"/>
        <v>47.38</v>
      </c>
      <c r="N5" s="6">
        <f t="shared" si="2"/>
        <v>994.98</v>
      </c>
    </row>
    <row r="6" spans="1:14" x14ac:dyDescent="0.25">
      <c r="A6" s="4">
        <v>4</v>
      </c>
      <c r="B6" s="4" t="s">
        <v>13</v>
      </c>
      <c r="C6" s="4" t="s">
        <v>14</v>
      </c>
      <c r="D6" s="5">
        <v>46127</v>
      </c>
      <c r="E6" s="4" t="s">
        <v>15</v>
      </c>
      <c r="F6" s="4" t="s">
        <v>16</v>
      </c>
      <c r="G6" s="4" t="s">
        <v>21</v>
      </c>
      <c r="H6" s="4" t="s">
        <v>22</v>
      </c>
      <c r="I6" s="4">
        <v>1</v>
      </c>
      <c r="J6" s="6">
        <v>205.71</v>
      </c>
      <c r="K6" s="6">
        <f t="shared" si="0"/>
        <v>205.71</v>
      </c>
      <c r="L6" s="7">
        <v>0.05</v>
      </c>
      <c r="M6" s="6">
        <f t="shared" si="1"/>
        <v>10.285500000000001</v>
      </c>
      <c r="N6" s="6">
        <f t="shared" si="2"/>
        <v>215.99550000000002</v>
      </c>
    </row>
    <row r="7" spans="1:14" x14ac:dyDescent="0.25">
      <c r="A7" s="4">
        <v>5</v>
      </c>
      <c r="B7" s="4" t="s">
        <v>13</v>
      </c>
      <c r="C7" s="4" t="s">
        <v>14</v>
      </c>
      <c r="D7" s="5">
        <v>46127</v>
      </c>
      <c r="E7" s="4" t="s">
        <v>15</v>
      </c>
      <c r="F7" s="4" t="s">
        <v>16</v>
      </c>
      <c r="G7" s="4" t="s">
        <v>23</v>
      </c>
      <c r="H7" s="4" t="s">
        <v>24</v>
      </c>
      <c r="I7" s="4">
        <v>24</v>
      </c>
      <c r="J7" s="6">
        <v>1.5475000000000001</v>
      </c>
      <c r="K7" s="6">
        <f t="shared" si="0"/>
        <v>37.14</v>
      </c>
      <c r="L7" s="7">
        <v>0.05</v>
      </c>
      <c r="M7" s="6">
        <f t="shared" si="1"/>
        <v>1.8570000000000002</v>
      </c>
      <c r="N7" s="6">
        <f t="shared" si="2"/>
        <v>38.997</v>
      </c>
    </row>
    <row r="8" spans="1:14" x14ac:dyDescent="0.25">
      <c r="A8" s="4">
        <v>6</v>
      </c>
      <c r="B8" s="4" t="s">
        <v>13</v>
      </c>
      <c r="C8" s="4" t="s">
        <v>14</v>
      </c>
      <c r="D8" s="5">
        <v>46127</v>
      </c>
      <c r="E8" s="4" t="s">
        <v>15</v>
      </c>
      <c r="F8" s="4" t="s">
        <v>16</v>
      </c>
      <c r="G8" s="4" t="s">
        <v>25</v>
      </c>
      <c r="H8" s="4" t="s">
        <v>27</v>
      </c>
      <c r="I8" s="4">
        <v>48</v>
      </c>
      <c r="J8" s="6">
        <v>0.83333333333333337</v>
      </c>
      <c r="K8" s="6">
        <f t="shared" si="0"/>
        <v>40</v>
      </c>
      <c r="L8" s="7">
        <v>0.05</v>
      </c>
      <c r="M8" s="6">
        <f t="shared" si="1"/>
        <v>2</v>
      </c>
      <c r="N8" s="6">
        <f t="shared" si="2"/>
        <v>42</v>
      </c>
    </row>
    <row r="9" spans="1:14" x14ac:dyDescent="0.25">
      <c r="A9" s="4">
        <v>7</v>
      </c>
      <c r="B9" s="4" t="s">
        <v>13</v>
      </c>
      <c r="C9" s="4" t="s">
        <v>14</v>
      </c>
      <c r="D9" s="5">
        <v>46127</v>
      </c>
      <c r="E9" s="4" t="s">
        <v>15</v>
      </c>
      <c r="F9" s="4" t="s">
        <v>16</v>
      </c>
      <c r="G9" s="4" t="s">
        <v>28</v>
      </c>
      <c r="H9" s="4" t="s">
        <v>29</v>
      </c>
      <c r="I9" s="4">
        <v>12</v>
      </c>
      <c r="J9" s="6">
        <v>6.666666666666667</v>
      </c>
      <c r="K9" s="6">
        <f t="shared" si="0"/>
        <v>80</v>
      </c>
      <c r="L9" s="7">
        <v>0.05</v>
      </c>
      <c r="M9" s="6">
        <f t="shared" si="1"/>
        <v>4</v>
      </c>
      <c r="N9" s="6">
        <f t="shared" si="2"/>
        <v>84</v>
      </c>
    </row>
    <row r="10" spans="1:14" x14ac:dyDescent="0.25">
      <c r="A10" s="4">
        <v>8</v>
      </c>
      <c r="B10" s="4" t="s">
        <v>13</v>
      </c>
      <c r="C10" s="4" t="s">
        <v>14</v>
      </c>
      <c r="D10" s="5">
        <v>46127</v>
      </c>
      <c r="E10" s="4" t="s">
        <v>15</v>
      </c>
      <c r="F10" s="4" t="s">
        <v>16</v>
      </c>
      <c r="G10" s="4" t="s">
        <v>30</v>
      </c>
      <c r="H10" s="4" t="s">
        <v>31</v>
      </c>
      <c r="I10" s="4">
        <v>24</v>
      </c>
      <c r="J10" s="6">
        <v>1.5079166666666666</v>
      </c>
      <c r="K10" s="6">
        <f t="shared" si="0"/>
        <v>36.19</v>
      </c>
      <c r="L10" s="7">
        <v>0.05</v>
      </c>
      <c r="M10" s="6">
        <f t="shared" si="1"/>
        <v>1.8094999999999999</v>
      </c>
      <c r="N10" s="6">
        <f t="shared" si="2"/>
        <v>37.999499999999998</v>
      </c>
    </row>
    <row r="11" spans="1:14" x14ac:dyDescent="0.25">
      <c r="A11" s="4">
        <v>9</v>
      </c>
      <c r="B11" s="4" t="s">
        <v>13</v>
      </c>
      <c r="C11" s="4" t="s">
        <v>14</v>
      </c>
      <c r="D11" s="5">
        <v>46127</v>
      </c>
      <c r="E11" s="4" t="s">
        <v>15</v>
      </c>
      <c r="F11" s="4" t="s">
        <v>16</v>
      </c>
      <c r="G11" s="4" t="s">
        <v>32</v>
      </c>
      <c r="H11" s="4" t="s">
        <v>33</v>
      </c>
      <c r="I11" s="4">
        <v>12</v>
      </c>
      <c r="J11" s="6">
        <v>13.809166666666668</v>
      </c>
      <c r="K11" s="6">
        <f t="shared" si="0"/>
        <v>165.71</v>
      </c>
      <c r="L11" s="7">
        <v>0.05</v>
      </c>
      <c r="M11" s="6">
        <f t="shared" si="1"/>
        <v>8.2855000000000008</v>
      </c>
      <c r="N11" s="6">
        <f t="shared" si="2"/>
        <v>173.99550000000002</v>
      </c>
    </row>
    <row r="12" spans="1:14" x14ac:dyDescent="0.25">
      <c r="A12" s="4">
        <v>10</v>
      </c>
      <c r="B12" s="4" t="s">
        <v>13</v>
      </c>
      <c r="C12" s="4" t="s">
        <v>14</v>
      </c>
      <c r="D12" s="5">
        <v>46127</v>
      </c>
      <c r="E12" s="4" t="s">
        <v>15</v>
      </c>
      <c r="F12" s="4" t="s">
        <v>16</v>
      </c>
      <c r="G12" s="4" t="s">
        <v>35</v>
      </c>
      <c r="H12" s="4" t="s">
        <v>34</v>
      </c>
      <c r="I12" s="4">
        <v>1</v>
      </c>
      <c r="J12" s="6">
        <v>350.48</v>
      </c>
      <c r="K12" s="6">
        <f t="shared" si="0"/>
        <v>350.48</v>
      </c>
      <c r="L12" s="7">
        <v>0.05</v>
      </c>
      <c r="M12" s="6">
        <f t="shared" si="1"/>
        <v>17.524000000000001</v>
      </c>
      <c r="N12" s="6">
        <f t="shared" si="2"/>
        <v>368.00400000000002</v>
      </c>
    </row>
    <row r="13" spans="1:14" x14ac:dyDescent="0.25">
      <c r="A13" s="4">
        <v>11</v>
      </c>
      <c r="B13" s="4" t="s">
        <v>13</v>
      </c>
      <c r="C13" s="4" t="s">
        <v>14</v>
      </c>
      <c r="D13" s="5">
        <v>46127</v>
      </c>
      <c r="E13" s="4" t="s">
        <v>15</v>
      </c>
      <c r="F13" s="4" t="s">
        <v>16</v>
      </c>
      <c r="G13" s="4" t="s">
        <v>36</v>
      </c>
      <c r="H13" s="4" t="s">
        <v>31</v>
      </c>
      <c r="I13" s="4">
        <v>12</v>
      </c>
      <c r="J13" s="6">
        <v>7.8575000000000008</v>
      </c>
      <c r="K13" s="6">
        <f t="shared" si="0"/>
        <v>94.29</v>
      </c>
      <c r="L13" s="7">
        <v>0.05</v>
      </c>
      <c r="M13" s="6">
        <f t="shared" si="1"/>
        <v>4.7145000000000001</v>
      </c>
      <c r="N13" s="6">
        <f t="shared" si="2"/>
        <v>99.004500000000007</v>
      </c>
    </row>
    <row r="14" spans="1:14" x14ac:dyDescent="0.25">
      <c r="A14" s="4">
        <v>12</v>
      </c>
      <c r="B14" s="4" t="s">
        <v>13</v>
      </c>
      <c r="C14" s="4" t="s">
        <v>14</v>
      </c>
      <c r="D14" s="5">
        <v>46127</v>
      </c>
      <c r="E14" s="4" t="s">
        <v>15</v>
      </c>
      <c r="F14" s="4" t="s">
        <v>16</v>
      </c>
      <c r="G14" s="4" t="s">
        <v>37</v>
      </c>
      <c r="H14" s="4" t="s">
        <v>38</v>
      </c>
      <c r="I14" s="4">
        <v>12</v>
      </c>
      <c r="J14" s="6">
        <v>18.833333333333332</v>
      </c>
      <c r="K14" s="6">
        <f t="shared" si="0"/>
        <v>226</v>
      </c>
      <c r="L14" s="7">
        <v>0</v>
      </c>
      <c r="M14" s="6">
        <f t="shared" si="1"/>
        <v>0</v>
      </c>
      <c r="N14" s="6">
        <f t="shared" si="2"/>
        <v>226</v>
      </c>
    </row>
    <row r="15" spans="1:14" x14ac:dyDescent="0.25">
      <c r="A15" s="4">
        <v>13</v>
      </c>
      <c r="B15" s="4" t="s">
        <v>13</v>
      </c>
      <c r="C15" s="4" t="s">
        <v>14</v>
      </c>
      <c r="D15" s="5">
        <v>46127</v>
      </c>
      <c r="E15" s="4" t="s">
        <v>15</v>
      </c>
      <c r="F15" s="4" t="s">
        <v>16</v>
      </c>
      <c r="G15" s="4" t="s">
        <v>39</v>
      </c>
      <c r="H15" s="4" t="s">
        <v>40</v>
      </c>
      <c r="I15" s="4">
        <v>10</v>
      </c>
      <c r="J15" s="6">
        <v>27.143000000000001</v>
      </c>
      <c r="K15" s="6">
        <f t="shared" si="0"/>
        <v>271.43</v>
      </c>
      <c r="L15" s="7">
        <v>0.05</v>
      </c>
      <c r="M15" s="6">
        <f t="shared" si="1"/>
        <v>13.5715</v>
      </c>
      <c r="N15" s="6">
        <f t="shared" si="2"/>
        <v>285.00150000000002</v>
      </c>
    </row>
    <row r="16" spans="1:14" x14ac:dyDescent="0.25">
      <c r="A16" s="4">
        <v>14</v>
      </c>
      <c r="B16" s="4" t="s">
        <v>13</v>
      </c>
      <c r="C16" s="4" t="s">
        <v>14</v>
      </c>
      <c r="D16" s="5">
        <v>46127</v>
      </c>
      <c r="E16" s="4" t="s">
        <v>15</v>
      </c>
      <c r="F16" s="4" t="s">
        <v>16</v>
      </c>
      <c r="G16" s="4" t="s">
        <v>41</v>
      </c>
      <c r="H16" s="4" t="s">
        <v>40</v>
      </c>
      <c r="I16" s="4">
        <v>10</v>
      </c>
      <c r="J16" s="6">
        <v>44</v>
      </c>
      <c r="K16" s="6">
        <f t="shared" si="0"/>
        <v>440</v>
      </c>
      <c r="L16" s="7">
        <v>0.05</v>
      </c>
      <c r="M16" s="6">
        <f t="shared" si="1"/>
        <v>22</v>
      </c>
      <c r="N16" s="6">
        <f t="shared" si="2"/>
        <v>462</v>
      </c>
    </row>
    <row r="17" spans="1:14" x14ac:dyDescent="0.25">
      <c r="A17" s="4">
        <v>15</v>
      </c>
      <c r="B17" s="4" t="s">
        <v>13</v>
      </c>
      <c r="C17" s="4" t="s">
        <v>14</v>
      </c>
      <c r="D17" s="5">
        <v>46127</v>
      </c>
      <c r="E17" s="4" t="s">
        <v>15</v>
      </c>
      <c r="F17" s="4" t="s">
        <v>16</v>
      </c>
      <c r="G17" s="4" t="s">
        <v>42</v>
      </c>
      <c r="H17" s="4" t="s">
        <v>43</v>
      </c>
      <c r="I17" s="4">
        <v>1</v>
      </c>
      <c r="J17" s="6">
        <v>147.62</v>
      </c>
      <c r="K17" s="6">
        <f t="shared" si="0"/>
        <v>147.62</v>
      </c>
      <c r="L17" s="7">
        <v>0.05</v>
      </c>
      <c r="M17" s="6">
        <f t="shared" si="1"/>
        <v>7.3810000000000002</v>
      </c>
      <c r="N17" s="6">
        <f t="shared" si="2"/>
        <v>155.001</v>
      </c>
    </row>
    <row r="18" spans="1:14" x14ac:dyDescent="0.25">
      <c r="A18" s="4">
        <v>16</v>
      </c>
      <c r="B18" s="4" t="s">
        <v>13</v>
      </c>
      <c r="C18" s="4" t="s">
        <v>14</v>
      </c>
      <c r="D18" s="5">
        <v>46127</v>
      </c>
      <c r="E18" s="4" t="s">
        <v>15</v>
      </c>
      <c r="F18" s="4" t="s">
        <v>16</v>
      </c>
      <c r="G18" s="4" t="s">
        <v>44</v>
      </c>
      <c r="H18" s="4" t="s">
        <v>43</v>
      </c>
      <c r="I18" s="4">
        <v>1</v>
      </c>
      <c r="J18" s="6">
        <v>181.9</v>
      </c>
      <c r="K18" s="6">
        <f t="shared" si="0"/>
        <v>181.9</v>
      </c>
      <c r="L18" s="7">
        <v>0.05</v>
      </c>
      <c r="M18" s="6">
        <f t="shared" si="1"/>
        <v>9.0950000000000006</v>
      </c>
      <c r="N18" s="6">
        <f t="shared" si="2"/>
        <v>190.995</v>
      </c>
    </row>
    <row r="19" spans="1:14" x14ac:dyDescent="0.25">
      <c r="A19" s="4">
        <v>17</v>
      </c>
      <c r="B19" s="4" t="s">
        <v>13</v>
      </c>
      <c r="C19" s="4" t="s">
        <v>14</v>
      </c>
      <c r="D19" s="5">
        <v>46127</v>
      </c>
      <c r="E19" s="4" t="s">
        <v>15</v>
      </c>
      <c r="F19" s="4" t="s">
        <v>16</v>
      </c>
      <c r="G19" s="4" t="s">
        <v>45</v>
      </c>
      <c r="H19" s="4" t="s">
        <v>43</v>
      </c>
      <c r="I19" s="4">
        <v>30</v>
      </c>
      <c r="J19" s="6">
        <v>8.5866666666666678</v>
      </c>
      <c r="K19" s="6">
        <f t="shared" si="0"/>
        <v>257.60000000000002</v>
      </c>
      <c r="L19" s="7">
        <v>0.05</v>
      </c>
      <c r="M19" s="6">
        <f t="shared" si="1"/>
        <v>12.880000000000003</v>
      </c>
      <c r="N19" s="6">
        <f t="shared" si="2"/>
        <v>270.48</v>
      </c>
    </row>
    <row r="20" spans="1:14" x14ac:dyDescent="0.25">
      <c r="A20" s="4">
        <v>18</v>
      </c>
      <c r="B20" s="4" t="s">
        <v>13</v>
      </c>
      <c r="C20" s="4" t="s">
        <v>14</v>
      </c>
      <c r="D20" s="5">
        <v>46127</v>
      </c>
      <c r="E20" s="4" t="s">
        <v>15</v>
      </c>
      <c r="F20" s="4" t="s">
        <v>16</v>
      </c>
      <c r="G20" s="4" t="s">
        <v>46</v>
      </c>
      <c r="H20" s="4" t="s">
        <v>47</v>
      </c>
      <c r="I20" s="4">
        <v>40</v>
      </c>
      <c r="J20" s="6">
        <v>7.0950000000000006</v>
      </c>
      <c r="K20" s="6">
        <f t="shared" si="0"/>
        <v>283.8</v>
      </c>
      <c r="L20" s="7">
        <v>0.05</v>
      </c>
      <c r="M20" s="6">
        <f t="shared" si="1"/>
        <v>14.190000000000001</v>
      </c>
      <c r="N20" s="6">
        <f t="shared" si="2"/>
        <v>297.99</v>
      </c>
    </row>
    <row r="21" spans="1:14" x14ac:dyDescent="0.25">
      <c r="A21" s="4">
        <v>19</v>
      </c>
      <c r="B21" s="4" t="s">
        <v>13</v>
      </c>
      <c r="C21" s="4" t="s">
        <v>14</v>
      </c>
      <c r="D21" s="5">
        <v>46127</v>
      </c>
      <c r="E21" s="4" t="s">
        <v>15</v>
      </c>
      <c r="F21" s="4" t="s">
        <v>16</v>
      </c>
      <c r="G21" s="4" t="s">
        <v>48</v>
      </c>
      <c r="H21" s="4" t="s">
        <v>49</v>
      </c>
      <c r="I21" s="4">
        <v>5</v>
      </c>
      <c r="J21" s="6">
        <v>140.1</v>
      </c>
      <c r="K21" s="6">
        <f t="shared" si="0"/>
        <v>700.5</v>
      </c>
      <c r="L21" s="7">
        <v>0.05</v>
      </c>
      <c r="M21" s="6">
        <f t="shared" si="1"/>
        <v>35.024999999999999</v>
      </c>
      <c r="N21" s="6">
        <f t="shared" si="2"/>
        <v>735.52499999999998</v>
      </c>
    </row>
    <row r="22" spans="1:14" x14ac:dyDescent="0.25">
      <c r="A22" s="4">
        <v>20</v>
      </c>
      <c r="B22" s="4" t="s">
        <v>55</v>
      </c>
      <c r="C22" s="4">
        <v>535</v>
      </c>
      <c r="D22" s="5">
        <v>46129</v>
      </c>
      <c r="E22" s="4" t="s">
        <v>15</v>
      </c>
      <c r="F22" s="4" t="s">
        <v>16</v>
      </c>
      <c r="G22" s="4" t="s">
        <v>56</v>
      </c>
      <c r="H22" s="4" t="s">
        <v>59</v>
      </c>
      <c r="I22" s="4">
        <v>3</v>
      </c>
      <c r="J22" s="6">
        <v>310</v>
      </c>
      <c r="K22" s="6">
        <f t="shared" si="0"/>
        <v>930</v>
      </c>
      <c r="L22" s="7">
        <v>0</v>
      </c>
      <c r="M22" s="6">
        <f t="shared" si="1"/>
        <v>0</v>
      </c>
      <c r="N22" s="6">
        <f t="shared" si="2"/>
        <v>930</v>
      </c>
    </row>
    <row r="23" spans="1:14" x14ac:dyDescent="0.25">
      <c r="A23" s="4">
        <v>21</v>
      </c>
      <c r="B23" s="4" t="s">
        <v>55</v>
      </c>
      <c r="C23" s="4">
        <v>535</v>
      </c>
      <c r="D23" s="5">
        <v>46129</v>
      </c>
      <c r="E23" s="4" t="s">
        <v>15</v>
      </c>
      <c r="F23" s="4" t="s">
        <v>16</v>
      </c>
      <c r="G23" s="4" t="s">
        <v>57</v>
      </c>
      <c r="H23" s="4" t="s">
        <v>59</v>
      </c>
      <c r="I23" s="4">
        <v>5</v>
      </c>
      <c r="J23" s="6">
        <v>310</v>
      </c>
      <c r="K23" s="6">
        <f t="shared" si="0"/>
        <v>1550</v>
      </c>
      <c r="L23" s="7">
        <v>0</v>
      </c>
      <c r="M23" s="6">
        <f t="shared" si="1"/>
        <v>0</v>
      </c>
      <c r="N23" s="6">
        <f t="shared" si="2"/>
        <v>1550</v>
      </c>
    </row>
    <row r="24" spans="1:14" x14ac:dyDescent="0.25">
      <c r="A24" s="4">
        <v>22</v>
      </c>
      <c r="B24" s="4" t="s">
        <v>55</v>
      </c>
      <c r="C24" s="4">
        <v>535</v>
      </c>
      <c r="D24" s="5">
        <v>46129</v>
      </c>
      <c r="E24" s="4" t="s">
        <v>15</v>
      </c>
      <c r="F24" s="4" t="s">
        <v>16</v>
      </c>
      <c r="G24" s="4" t="s">
        <v>58</v>
      </c>
      <c r="H24" s="4" t="s">
        <v>59</v>
      </c>
      <c r="I24" s="4">
        <v>5</v>
      </c>
      <c r="J24" s="6">
        <v>182</v>
      </c>
      <c r="K24" s="6">
        <f t="shared" si="0"/>
        <v>910</v>
      </c>
      <c r="L24" s="7">
        <v>0</v>
      </c>
      <c r="M24" s="6">
        <f t="shared" si="1"/>
        <v>0</v>
      </c>
      <c r="N24" s="6">
        <f t="shared" si="2"/>
        <v>910</v>
      </c>
    </row>
    <row r="25" spans="1:14" x14ac:dyDescent="0.25">
      <c r="A25" s="4">
        <v>23</v>
      </c>
      <c r="B25" s="4"/>
      <c r="C25" s="4"/>
      <c r="D25" s="5"/>
      <c r="E25" s="4"/>
      <c r="F25" s="4"/>
      <c r="G25" s="4"/>
      <c r="H25" s="4"/>
      <c r="I25" s="4"/>
      <c r="J25" s="6"/>
      <c r="K25" s="6"/>
      <c r="L25" s="7"/>
      <c r="M25" s="6"/>
      <c r="N25" s="6"/>
    </row>
    <row r="26" spans="1:14" x14ac:dyDescent="0.25">
      <c r="A26" s="4">
        <v>24</v>
      </c>
      <c r="B26" s="4"/>
      <c r="C26" s="4"/>
      <c r="D26" s="5"/>
      <c r="E26" s="4"/>
      <c r="F26" s="4"/>
      <c r="G26" s="4"/>
      <c r="H26" s="4"/>
      <c r="I26" s="4"/>
      <c r="J26" s="6"/>
      <c r="K26" s="6"/>
      <c r="L26" s="7"/>
      <c r="M26" s="6"/>
      <c r="N26" s="6"/>
    </row>
    <row r="27" spans="1:14" ht="26.25" x14ac:dyDescent="0.4">
      <c r="A27" s="9" t="s">
        <v>53</v>
      </c>
      <c r="B27" s="9"/>
      <c r="C27" s="9"/>
      <c r="D27" s="9"/>
      <c r="E27" s="9"/>
      <c r="F27" s="9"/>
      <c r="G27" s="9"/>
      <c r="H27" s="9"/>
      <c r="I27" s="9"/>
      <c r="J27" s="10"/>
      <c r="K27" s="9"/>
      <c r="L27" s="9"/>
      <c r="M27" s="10"/>
      <c r="N27" s="10">
        <f>SUBTOTAL(109,N3:N24)</f>
        <v>13925.9535</v>
      </c>
    </row>
  </sheetData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 15-04-26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Shankar M</dc:creator>
  <cp:lastModifiedBy>Shankar M</cp:lastModifiedBy>
  <dcterms:created xsi:type="dcterms:W3CDTF">2026-04-15T13:39:47Z</dcterms:created>
  <dcterms:modified xsi:type="dcterms:W3CDTF">2026-04-18T07:26:10Z</dcterms:modified>
</cp:coreProperties>
</file>